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1a1c336c44c98ff0/Documents/"/>
    </mc:Choice>
  </mc:AlternateContent>
  <xr:revisionPtr revIDLastSave="731" documentId="10_ncr:20000_{43737762-215C-4B91-9DE5-CA5D95F58586}" xr6:coauthVersionLast="47" xr6:coauthVersionMax="47" xr10:uidLastSave="{5FF466AA-EB63-4CCB-A1A6-D05E6A3A76FC}"/>
  <bookViews>
    <workbookView xWindow="-110" yWindow="-110" windowWidth="19420" windowHeight="10300" activeTab="6" xr2:uid="{00000000-000D-0000-FFFF-FFFF00000000}"/>
  </bookViews>
  <sheets>
    <sheet name="RAID DASHBOARD" sheetId="1" r:id="rId1"/>
    <sheet name="Risks" sheetId="2" r:id="rId2"/>
    <sheet name="Assumptions" sheetId="4" r:id="rId3"/>
    <sheet name="Issues" sheetId="5" r:id="rId4"/>
    <sheet name="Dependencies" sheetId="6" r:id="rId5"/>
    <sheet name="Risk Scoring" sheetId="10" r:id="rId6"/>
    <sheet name="Help Page"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B24" i="1"/>
  <c r="B23" i="1"/>
  <c r="Q22" i="1"/>
  <c r="Q20" i="1"/>
  <c r="Q18" i="1"/>
  <c r="G22" i="1"/>
  <c r="G20" i="1"/>
  <c r="G18" i="1"/>
  <c r="L22" i="1"/>
  <c r="L20" i="1"/>
  <c r="L18" i="1"/>
  <c r="C8" i="4"/>
  <c r="G27" i="1" s="1"/>
  <c r="H5" i="4" a="1"/>
  <c r="H5" i="4" s="1"/>
  <c r="C8" i="2" a="1"/>
  <c r="C8" i="2" s="1"/>
  <c r="B27" i="1" s="1"/>
  <c r="I17" i="2"/>
  <c r="I18" i="2"/>
  <c r="I19" i="2"/>
  <c r="I20" i="2"/>
  <c r="I21" i="2"/>
  <c r="H13" i="2"/>
  <c r="I13" i="2" s="1"/>
  <c r="H14" i="2"/>
  <c r="I14" i="2" s="1"/>
  <c r="H15" i="2"/>
  <c r="I15" i="2" s="1"/>
  <c r="H16" i="2"/>
  <c r="I16" i="2" s="1"/>
  <c r="H17" i="2"/>
  <c r="H18" i="2"/>
  <c r="H19" i="2"/>
  <c r="H20" i="2"/>
  <c r="H21" i="2"/>
  <c r="H22" i="2"/>
  <c r="I22" i="2" s="1"/>
  <c r="H23" i="2"/>
  <c r="I23" i="2" s="1"/>
  <c r="H24" i="2"/>
  <c r="I24" i="2" s="1"/>
  <c r="H25" i="2"/>
  <c r="I25" i="2" s="1"/>
  <c r="H26" i="2"/>
  <c r="I26" i="2" s="1"/>
  <c r="H27" i="2"/>
  <c r="I27" i="2" s="1"/>
  <c r="H28" i="2"/>
  <c r="I28" i="2" s="1"/>
  <c r="H12" i="2"/>
  <c r="I12" i="2" s="1"/>
  <c r="B8" i="6"/>
  <c r="Q27" i="1" s="1"/>
  <c r="B8" i="5"/>
  <c r="L27" i="1" s="1"/>
  <c r="E7" i="5" a="1"/>
  <c r="E7" i="5" s="1"/>
  <c r="E7" i="6" a="1"/>
  <c r="E7" i="6" s="1"/>
  <c r="E6" i="6" a="1"/>
  <c r="E6" i="6" s="1"/>
  <c r="E5" i="6" a="1"/>
  <c r="E5" i="6" s="1"/>
  <c r="E5" i="5" a="1"/>
  <c r="E5" i="5" s="1"/>
  <c r="E6" i="5" a="1"/>
  <c r="E6" i="5" s="1"/>
  <c r="H7" i="4" a="1"/>
  <c r="H7" i="4" s="1"/>
  <c r="H6" i="4" a="1"/>
  <c r="H6" i="4" s="1"/>
  <c r="B19" i="1" l="1"/>
  <c r="B20" i="1"/>
  <c r="B18" i="1"/>
  <c r="F6" i="2" a="1"/>
  <c r="F6" i="2" s="1"/>
  <c r="F5" i="2" a="1"/>
  <c r="F5" i="2" s="1"/>
  <c r="F4" i="2" a="1"/>
  <c r="F4" i="2" s="1"/>
  <c r="E8" i="6"/>
  <c r="J8" i="6" s="1"/>
  <c r="E8" i="5"/>
  <c r="J7" i="5" s="1"/>
  <c r="AA10" i="1" l="1"/>
  <c r="L8" i="4"/>
  <c r="Q15" i="1"/>
  <c r="J8" i="5"/>
  <c r="O6" i="2"/>
  <c r="J7" i="6"/>
  <c r="F7" i="2"/>
  <c r="L15" i="1"/>
  <c r="L7" i="4"/>
  <c r="O5" i="2"/>
  <c r="J5" i="1" l="1"/>
  <c r="AA12" i="1"/>
  <c r="H4" i="1" s="1"/>
  <c r="AA11" i="1"/>
  <c r="L5" i="4"/>
  <c r="O3" i="2"/>
  <c r="J5" i="6"/>
  <c r="J5" i="5"/>
  <c r="H8" i="4"/>
  <c r="L6" i="4" s="1"/>
  <c r="B15" i="1"/>
  <c r="J6" i="5" l="1"/>
  <c r="O4" i="2"/>
  <c r="J6" i="6"/>
  <c r="G1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<sst xmlns="http://schemas.openxmlformats.org/spreadsheetml/2006/main" count="416" uniqueCount="266">
  <si>
    <r>
      <t>R</t>
    </r>
    <r>
      <rPr>
        <sz val="16"/>
        <color theme="0"/>
        <rFont val="Aptos Narrow"/>
        <family val="2"/>
        <scheme val="minor"/>
      </rPr>
      <t>isks</t>
    </r>
  </si>
  <si>
    <r>
      <t>A</t>
    </r>
    <r>
      <rPr>
        <sz val="16"/>
        <color theme="0"/>
        <rFont val="Aptos Narrow"/>
        <family val="2"/>
        <scheme val="minor"/>
      </rPr>
      <t>ssumptions</t>
    </r>
  </si>
  <si>
    <r>
      <t>I</t>
    </r>
    <r>
      <rPr>
        <sz val="16"/>
        <color theme="0"/>
        <rFont val="Aptos Narrow"/>
        <family val="2"/>
        <scheme val="minor"/>
      </rPr>
      <t>ssues</t>
    </r>
  </si>
  <si>
    <r>
      <t>D</t>
    </r>
    <r>
      <rPr>
        <sz val="16"/>
        <color theme="0"/>
        <rFont val="Aptos Narrow"/>
        <family val="2"/>
        <scheme val="minor"/>
      </rPr>
      <t>ependencies</t>
    </r>
  </si>
  <si>
    <t>High</t>
  </si>
  <si>
    <t>Moderate</t>
  </si>
  <si>
    <t>Low</t>
  </si>
  <si>
    <t>RISKS</t>
  </si>
  <si>
    <t>(PROJECT NAME)</t>
  </si>
  <si>
    <t>RISK ID</t>
  </si>
  <si>
    <t>TITLE</t>
  </si>
  <si>
    <t>DESCRIPTION</t>
  </si>
  <si>
    <t>RISK</t>
  </si>
  <si>
    <t>IMPACT</t>
  </si>
  <si>
    <t>LIKELIHOOD</t>
  </si>
  <si>
    <t>SCORE</t>
  </si>
  <si>
    <t>LEVEL</t>
  </si>
  <si>
    <t>STATUS</t>
  </si>
  <si>
    <t>LAST UPDATED</t>
  </si>
  <si>
    <t>TREND</t>
  </si>
  <si>
    <t>Deteriorating</t>
  </si>
  <si>
    <t>No Change</t>
  </si>
  <si>
    <t>Improving</t>
  </si>
  <si>
    <t>Mitigated</t>
  </si>
  <si>
    <t>RAID LOG &amp; DASHBOARD</t>
  </si>
  <si>
    <t>Upheld</t>
  </si>
  <si>
    <t>Closed</t>
  </si>
  <si>
    <t>Committed</t>
  </si>
  <si>
    <t>OWNER</t>
  </si>
  <si>
    <t>Number of Risks</t>
  </si>
  <si>
    <t>Total</t>
  </si>
  <si>
    <t>There is a risk that …</t>
  </si>
  <si>
    <t>DATE ADDED</t>
  </si>
  <si>
    <t>RAID SUMMARY</t>
  </si>
  <si>
    <t>ASSUMPTIONS</t>
  </si>
  <si>
    <t>ISSUES</t>
  </si>
  <si>
    <t>DEPENDENCIES</t>
  </si>
  <si>
    <t>DATE DUE</t>
  </si>
  <si>
    <t>Number of Assumptions</t>
  </si>
  <si>
    <t>There is an assumption that …</t>
  </si>
  <si>
    <t>IMPLICATION</t>
  </si>
  <si>
    <t>ASSUMPTION/CONSTRAINT</t>
  </si>
  <si>
    <t>RECORDED BY</t>
  </si>
  <si>
    <t>STAKEHOLDERS INVOLVED</t>
  </si>
  <si>
    <t>CRITICALITY</t>
  </si>
  <si>
    <t>ACTIONS</t>
  </si>
  <si>
    <t>NOTES</t>
  </si>
  <si>
    <t>R001</t>
  </si>
  <si>
    <t>R002</t>
  </si>
  <si>
    <t>R003</t>
  </si>
  <si>
    <t>R004</t>
  </si>
  <si>
    <t>R005</t>
  </si>
  <si>
    <t>R006</t>
  </si>
  <si>
    <t>R007</t>
  </si>
  <si>
    <t>R008</t>
  </si>
  <si>
    <t>R009</t>
  </si>
  <si>
    <t>R010</t>
  </si>
  <si>
    <t>R011</t>
  </si>
  <si>
    <t>R012</t>
  </si>
  <si>
    <t>R013</t>
  </si>
  <si>
    <t>R014</t>
  </si>
  <si>
    <t>R015</t>
  </si>
  <si>
    <t>R016</t>
  </si>
  <si>
    <t>R017</t>
  </si>
  <si>
    <t>A001</t>
  </si>
  <si>
    <t>A002</t>
  </si>
  <si>
    <t>A003</t>
  </si>
  <si>
    <t>A004</t>
  </si>
  <si>
    <t>A005</t>
  </si>
  <si>
    <t>A006</t>
  </si>
  <si>
    <t>A007</t>
  </si>
  <si>
    <t>A008</t>
  </si>
  <si>
    <t>A009</t>
  </si>
  <si>
    <t>A010</t>
  </si>
  <si>
    <t>A011</t>
  </si>
  <si>
    <t>A012</t>
  </si>
  <si>
    <t>A013</t>
  </si>
  <si>
    <t>A014</t>
  </si>
  <si>
    <t>A015</t>
  </si>
  <si>
    <t>A016</t>
  </si>
  <si>
    <t>A017</t>
  </si>
  <si>
    <t>I001</t>
  </si>
  <si>
    <t>I002</t>
  </si>
  <si>
    <t>I003</t>
  </si>
  <si>
    <t>I004</t>
  </si>
  <si>
    <t>I005</t>
  </si>
  <si>
    <t>I006</t>
  </si>
  <si>
    <t>I007</t>
  </si>
  <si>
    <t>I008</t>
  </si>
  <si>
    <t>I009</t>
  </si>
  <si>
    <t>I010</t>
  </si>
  <si>
    <t>I011</t>
  </si>
  <si>
    <t>I012</t>
  </si>
  <si>
    <t>I013</t>
  </si>
  <si>
    <t>I014</t>
  </si>
  <si>
    <t>I015</t>
  </si>
  <si>
    <t>I016</t>
  </si>
  <si>
    <t>I017</t>
  </si>
  <si>
    <t>IMPACT DESCRIPTION</t>
  </si>
  <si>
    <t>ISSUE SCORE</t>
  </si>
  <si>
    <t>Number of Issues</t>
  </si>
  <si>
    <t>Number of Dependencies</t>
  </si>
  <si>
    <t>There is a dependency on …</t>
  </si>
  <si>
    <t>PRIORITY</t>
  </si>
  <si>
    <t>Date</t>
  </si>
  <si>
    <t>Version</t>
  </si>
  <si>
    <t>Overall Status</t>
  </si>
  <si>
    <t xml:space="preserve">   - Typically, a risk score between 1 and 4.</t>
  </si>
  <si>
    <t xml:space="preserve">   - Indicates low priority risks with minor consequences and low likelihood of occurrence.</t>
  </si>
  <si>
    <t xml:space="preserve">   - Typically, a risk score between 5 and 12.</t>
  </si>
  <si>
    <t xml:space="preserve">   - Indicates medium priority risks with moderate consequences and/or moderate likelihood of occurrence.</t>
  </si>
  <si>
    <t xml:space="preserve">   - Typically, a risk score between 13 and 25.</t>
  </si>
  <si>
    <t xml:space="preserve">   - Indicates high priority risks with severe consequences and/or high likelihood of occurrence.</t>
  </si>
  <si>
    <t>Columns: Represent the Impact scores (1 to 5).</t>
  </si>
  <si>
    <t>Rows: Represent the Likelihood scores (1 to 5).</t>
  </si>
  <si>
    <t>Matrix Structure:</t>
  </si>
  <si>
    <t>Components:</t>
  </si>
  <si>
    <t>Calculating the Risk Score:</t>
  </si>
  <si>
    <t>The matrix helps in identifying and prioritising risks, enabling the team to focus on managing the most significant risks effectively. It provides a visual representation of risks, facilitating better decision-making and resource allocation.</t>
  </si>
  <si>
    <t>Impact Score: 3 (Moderate)</t>
  </si>
  <si>
    <t>Likelihood Score: 4 (Moderate)</t>
  </si>
  <si>
    <t>Risk Score: 3 X 4 = 12 (Moderate Risk)</t>
  </si>
  <si>
    <t>Example:</t>
  </si>
  <si>
    <t>DD/MM/YY</t>
  </si>
  <si>
    <t>Risk Categories:</t>
  </si>
  <si>
    <t>Key</t>
  </si>
  <si>
    <t>1-4</t>
  </si>
  <si>
    <t>5-12</t>
  </si>
  <si>
    <t>13-25</t>
  </si>
  <si>
    <t>Low Risk</t>
  </si>
  <si>
    <t>Moderate Risk</t>
  </si>
  <si>
    <t>High Risk</t>
  </si>
  <si>
    <t xml:space="preserve">Each risk is rated on two dimensions: </t>
  </si>
  <si>
    <t>Overview of Risk Score Matrix Based on Impact and Likelihood</t>
  </si>
  <si>
    <t>Stakeholders</t>
  </si>
  <si>
    <t>Low Risk:</t>
  </si>
  <si>
    <t>Moderate Risk:</t>
  </si>
  <si>
    <t>High Risk:</t>
  </si>
  <si>
    <t>The risk score is calculated by multiplying the Likelihood score by the Impact score. The result is then used to categorise the overall risk level.</t>
  </si>
  <si>
    <r>
      <t xml:space="preserve">1. </t>
    </r>
    <r>
      <rPr>
        <b/>
        <sz val="14"/>
        <color theme="1"/>
        <rFont val="Aptos Narrow"/>
        <family val="2"/>
        <scheme val="minor"/>
      </rPr>
      <t>Impact</t>
    </r>
    <r>
      <rPr>
        <sz val="14"/>
        <color theme="1"/>
        <rFont val="Aptos Narrow"/>
        <family val="2"/>
        <scheme val="minor"/>
      </rPr>
      <t>:</t>
    </r>
  </si>
  <si>
    <r>
      <t xml:space="preserve">2. </t>
    </r>
    <r>
      <rPr>
        <b/>
        <sz val="14"/>
        <color theme="1"/>
        <rFont val="Aptos Narrow"/>
        <family val="2"/>
        <scheme val="minor"/>
      </rPr>
      <t>Likelihood</t>
    </r>
    <r>
      <rPr>
        <sz val="14"/>
        <color theme="1"/>
        <rFont val="Aptos Narrow"/>
        <family val="2"/>
        <scheme val="minor"/>
      </rPr>
      <t>:</t>
    </r>
  </si>
  <si>
    <t xml:space="preserve">The Risk Score Matrix tool is used to assess and prioritise risks by evaluating the impact and likelihood of potential events. </t>
  </si>
  <si>
    <r>
      <rPr>
        <b/>
        <sz val="14"/>
        <color theme="1"/>
        <rFont val="Aptos Narrow"/>
        <family val="2"/>
        <scheme val="minor"/>
      </rPr>
      <t>Impact</t>
    </r>
    <r>
      <rPr>
        <sz val="14"/>
        <color theme="1"/>
        <rFont val="Aptos Narrow"/>
        <family val="2"/>
        <scheme val="minor"/>
      </rPr>
      <t xml:space="preserve"> (the severity of consequences if the event occurs) and </t>
    </r>
    <r>
      <rPr>
        <b/>
        <sz val="14"/>
        <color theme="1"/>
        <rFont val="Aptos Narrow"/>
        <family val="2"/>
        <scheme val="minor"/>
      </rPr>
      <t>Likelihood</t>
    </r>
    <r>
      <rPr>
        <sz val="14"/>
        <color theme="1"/>
        <rFont val="Aptos Narrow"/>
        <family val="2"/>
        <scheme val="minor"/>
      </rPr>
      <t xml:space="preserve"> (the probability of the event occurring). Both dimensions are scored on a scale of 1 to 5 and categorised into Low, Moderate, and High.</t>
    </r>
  </si>
  <si>
    <r>
      <t xml:space="preserve">   - </t>
    </r>
    <r>
      <rPr>
        <b/>
        <sz val="14"/>
        <color rgb="FF00B050"/>
        <rFont val="Aptos Narrow"/>
        <family val="2"/>
        <scheme val="minor"/>
      </rPr>
      <t>Low</t>
    </r>
    <r>
      <rPr>
        <sz val="14"/>
        <color rgb="FF00B050"/>
        <rFont val="Aptos Narrow"/>
        <family val="2"/>
        <scheme val="minor"/>
      </rPr>
      <t xml:space="preserve"> </t>
    </r>
    <r>
      <rPr>
        <sz val="14"/>
        <color theme="1"/>
        <rFont val="Aptos Narrow"/>
        <family val="2"/>
        <scheme val="minor"/>
      </rPr>
      <t>(1-2): The event will have minimal consequences.</t>
    </r>
  </si>
  <si>
    <r>
      <t xml:space="preserve">   - </t>
    </r>
    <r>
      <rPr>
        <b/>
        <sz val="14"/>
        <color rgb="FFFFC000"/>
        <rFont val="Aptos Narrow"/>
        <family val="2"/>
        <scheme val="minor"/>
      </rPr>
      <t xml:space="preserve">Moderate </t>
    </r>
    <r>
      <rPr>
        <sz val="14"/>
        <color theme="1"/>
        <rFont val="Aptos Narrow"/>
        <family val="2"/>
        <scheme val="minor"/>
      </rPr>
      <t>(3-4): The event will have noticeable but manageable consequences.</t>
    </r>
  </si>
  <si>
    <r>
      <t xml:space="preserve">   - </t>
    </r>
    <r>
      <rPr>
        <b/>
        <sz val="14"/>
        <color rgb="FFFF0000"/>
        <rFont val="Aptos Narrow"/>
        <family val="2"/>
        <scheme val="minor"/>
      </rPr>
      <t>High</t>
    </r>
    <r>
      <rPr>
        <sz val="14"/>
        <color theme="1"/>
        <rFont val="Aptos Narrow"/>
        <family val="2"/>
        <scheme val="minor"/>
      </rPr>
      <t xml:space="preserve"> (5): The event will have severe consequences.</t>
    </r>
  </si>
  <si>
    <r>
      <t xml:space="preserve">   - </t>
    </r>
    <r>
      <rPr>
        <b/>
        <sz val="14"/>
        <color rgb="FF00B050"/>
        <rFont val="Aptos Narrow"/>
        <family val="2"/>
        <scheme val="minor"/>
      </rPr>
      <t>Low</t>
    </r>
    <r>
      <rPr>
        <sz val="14"/>
        <color theme="1"/>
        <rFont val="Aptos Narrow"/>
        <family val="2"/>
        <scheme val="minor"/>
      </rPr>
      <t xml:space="preserve"> (1-2): The event is unlikely to occur.</t>
    </r>
  </si>
  <si>
    <r>
      <t xml:space="preserve">   - </t>
    </r>
    <r>
      <rPr>
        <b/>
        <sz val="14"/>
        <color rgb="FFFFC000"/>
        <rFont val="Aptos Narrow"/>
        <family val="2"/>
        <scheme val="minor"/>
      </rPr>
      <t>Moderate</t>
    </r>
    <r>
      <rPr>
        <sz val="14"/>
        <color theme="1"/>
        <rFont val="Aptos Narrow"/>
        <family val="2"/>
        <scheme val="minor"/>
      </rPr>
      <t xml:space="preserve"> (3-4): The event has a reasonable chance of occurring.</t>
    </r>
  </si>
  <si>
    <r>
      <t xml:space="preserve">   -</t>
    </r>
    <r>
      <rPr>
        <b/>
        <sz val="14"/>
        <color rgb="FFFF0000"/>
        <rFont val="Aptos Narrow"/>
        <family val="2"/>
        <scheme val="minor"/>
      </rPr>
      <t xml:space="preserve"> High </t>
    </r>
    <r>
      <rPr>
        <sz val="14"/>
        <color theme="1"/>
        <rFont val="Aptos Narrow"/>
        <family val="2"/>
        <scheme val="minor"/>
      </rPr>
      <t>(5): The event is highly likely to occur.</t>
    </r>
  </si>
  <si>
    <t>MITIGATED</t>
  </si>
  <si>
    <t>By maintaining a detailed Assumption log within the RAID log, project managers can better prepare for uncertainties and manage the project more effectively.</t>
  </si>
  <si>
    <r>
      <rPr>
        <b/>
        <sz val="11"/>
        <color theme="1"/>
        <rFont val="Aptos Narrow"/>
        <family val="2"/>
        <scheme val="minor"/>
      </rPr>
      <t>Risks</t>
    </r>
    <r>
      <rPr>
        <sz val="11"/>
        <color theme="1"/>
        <rFont val="Aptos Narrow"/>
        <family val="2"/>
        <scheme val="minor"/>
      </rPr>
      <t>: Potential problems that might occur in the future and have an impact on the project.</t>
    </r>
  </si>
  <si>
    <r>
      <rPr>
        <b/>
        <sz val="11"/>
        <color theme="1"/>
        <rFont val="Aptos Narrow"/>
        <family val="2"/>
        <scheme val="minor"/>
      </rPr>
      <t>Assumptions</t>
    </r>
    <r>
      <rPr>
        <sz val="11"/>
        <color theme="1"/>
        <rFont val="Aptos Narrow"/>
        <family val="2"/>
        <scheme val="minor"/>
      </rPr>
      <t>: Things assumed to be true for the project to be successful.</t>
    </r>
  </si>
  <si>
    <r>
      <rPr>
        <b/>
        <sz val="11"/>
        <color theme="1"/>
        <rFont val="Aptos Narrow"/>
        <family val="2"/>
        <scheme val="minor"/>
      </rPr>
      <t>Issues:</t>
    </r>
    <r>
      <rPr>
        <sz val="11"/>
        <color theme="1"/>
        <rFont val="Aptos Narrow"/>
        <family val="2"/>
        <scheme val="minor"/>
      </rPr>
      <t xml:space="preserve"> Current problems that need to be resolved.</t>
    </r>
  </si>
  <si>
    <r>
      <rPr>
        <b/>
        <sz val="11"/>
        <color theme="1"/>
        <rFont val="Aptos Narrow"/>
        <family val="2"/>
        <scheme val="minor"/>
      </rPr>
      <t>Dependencies:</t>
    </r>
    <r>
      <rPr>
        <sz val="11"/>
        <color theme="1"/>
        <rFont val="Aptos Narrow"/>
        <family val="2"/>
        <scheme val="minor"/>
      </rPr>
      <t xml:space="preserve"> Tasks or activities that depend on the completion of other tasks or activities.</t>
    </r>
  </si>
  <si>
    <t>Assumption Log</t>
  </si>
  <si>
    <t xml:space="preserve">The Assumption log is a part of the RAID log specifically dedicated to tracking assumptions made during the project planning and execution phases. Assumptions are things that are accepted as true or certain to happen without proof. </t>
  </si>
  <si>
    <t>They are necessary to proceed with planning, especially when there are unknowns or uncertainties.</t>
  </si>
  <si>
    <t>Resource availability.</t>
  </si>
  <si>
    <t>Delivery times of materials or components.</t>
  </si>
  <si>
    <t>Performance metrics.</t>
  </si>
  <si>
    <t>Market conditions.</t>
  </si>
  <si>
    <t>The RAID log is used to document and track four critical aspects of our project: Risks, Assumptions, Issues, and Dependencies. Each component of the RAID log serves a specific purpose:</t>
  </si>
  <si>
    <r>
      <rPr>
        <b/>
        <sz val="11"/>
        <color theme="1"/>
        <rFont val="Aptos Narrow"/>
        <family val="2"/>
        <scheme val="minor"/>
      </rPr>
      <t>Status in Assumption Log:</t>
    </r>
    <r>
      <rPr>
        <sz val="11"/>
        <color theme="1"/>
        <rFont val="Aptos Narrow"/>
        <family val="2"/>
        <scheme val="minor"/>
      </rPr>
      <t xml:space="preserve"> Upheld vs. Identified</t>
    </r>
  </si>
  <si>
    <t>Assumptions might include:</t>
  </si>
  <si>
    <t>Identified</t>
  </si>
  <si>
    <r>
      <rPr>
        <b/>
        <sz val="11"/>
        <color rgb="FF0070C0"/>
        <rFont val="Aptos Narrow"/>
        <family val="2"/>
        <scheme val="minor"/>
      </rPr>
      <t>Meaning</t>
    </r>
    <r>
      <rPr>
        <sz val="11"/>
        <color theme="1"/>
        <rFont val="Aptos Narrow"/>
        <family val="2"/>
        <scheme val="minor"/>
      </rPr>
      <t>: When an assumption is first documented in the log, it is considered "identified." This means the project team recognizes this assumption as a factor that could influence the project's outcome.</t>
    </r>
  </si>
  <si>
    <r>
      <rPr>
        <b/>
        <sz val="11"/>
        <color theme="8"/>
        <rFont val="Aptos Narrow"/>
        <family val="2"/>
        <scheme val="minor"/>
      </rPr>
      <t>Example</t>
    </r>
    <r>
      <rPr>
        <sz val="11"/>
        <color theme="1"/>
        <rFont val="Aptos Narrow"/>
        <family val="2"/>
        <scheme val="minor"/>
      </rPr>
      <t>: An assumption that a key resource will be available throughout the project duration is identified during the planning phase.</t>
    </r>
  </si>
  <si>
    <t>Upheld:</t>
  </si>
  <si>
    <r>
      <rPr>
        <b/>
        <sz val="11"/>
        <color rgb="FF0070C0"/>
        <rFont val="Aptos Narrow"/>
        <family val="2"/>
        <scheme val="minor"/>
      </rPr>
      <t>Meaning</t>
    </r>
    <r>
      <rPr>
        <sz val="11"/>
        <color theme="1"/>
        <rFont val="Aptos Narrow"/>
        <family val="2"/>
        <scheme val="minor"/>
      </rPr>
      <t>: An assumption is marked as "upheld" when it is confirmed to be accurate or still valid during the project's progression. This status indicates that the assumption holds true and can be relied upon.</t>
    </r>
  </si>
  <si>
    <r>
      <rPr>
        <b/>
        <sz val="11"/>
        <color theme="8"/>
        <rFont val="Aptos Narrow"/>
        <family val="2"/>
        <scheme val="minor"/>
      </rPr>
      <t>Example</t>
    </r>
    <r>
      <rPr>
        <sz val="11"/>
        <color theme="1"/>
        <rFont val="Aptos Narrow"/>
        <family val="2"/>
        <scheme val="minor"/>
      </rPr>
      <t>: If, during the project's execution, the key resource is indeed available as assumed, this assumption is upheld.</t>
    </r>
  </si>
  <si>
    <t>Key Points about Assumption Status:</t>
  </si>
  <si>
    <r>
      <rPr>
        <b/>
        <sz val="11"/>
        <color theme="1"/>
        <rFont val="Aptos Narrow"/>
        <family val="2"/>
        <scheme val="minor"/>
      </rPr>
      <t>Monitoring</t>
    </r>
    <r>
      <rPr>
        <sz val="11"/>
        <color theme="1"/>
        <rFont val="Aptos Narrow"/>
        <family val="2"/>
        <scheme val="minor"/>
      </rPr>
      <t>: Assumptions need to be regularly reviewed and monitored to ensure they remain valid. Changes in the project environment can impact the validity of assumptions.</t>
    </r>
  </si>
  <si>
    <r>
      <rPr>
        <b/>
        <sz val="11"/>
        <color theme="1"/>
        <rFont val="Aptos Narrow"/>
        <family val="2"/>
        <scheme val="minor"/>
      </rPr>
      <t>Impact on Project</t>
    </r>
    <r>
      <rPr>
        <sz val="11"/>
        <color theme="1"/>
        <rFont val="Aptos Narrow"/>
        <family val="2"/>
        <scheme val="minor"/>
      </rPr>
      <t>: If an assumption is not upheld (i.e., it turns out to be false), it can lead to risks or issues that need to be managed. For example, if the key resource is not available as assumed, it might cause delays or require finding alternative resources.</t>
    </r>
  </si>
  <si>
    <r>
      <rPr>
        <b/>
        <sz val="11"/>
        <color theme="1"/>
        <rFont val="Aptos Narrow"/>
        <family val="2"/>
        <scheme val="minor"/>
      </rPr>
      <t>Documentation</t>
    </r>
    <r>
      <rPr>
        <sz val="11"/>
        <color theme="1"/>
        <rFont val="Aptos Narrow"/>
        <family val="2"/>
        <scheme val="minor"/>
      </rPr>
      <t>: Proper documentation of assumptions and their statuses helps in transparent project management and ensures that stakeholders are aware of potential changes or risks.</t>
    </r>
  </si>
  <si>
    <t>Risk Log</t>
  </si>
  <si>
    <t>The Risk log is used to identify, assess, and manage risks that could impact the project. Risks are potential future events or conditions that, if they occur, can have a negative impact on the project's objectives, timeline, budget, or scope.</t>
  </si>
  <si>
    <t>Combining Status and Mitigation Columns</t>
  </si>
  <si>
    <t>The combination of the status (open/closed) and the mitigated (Yes/No) columns provides a clear picture of the current state of each risk:</t>
  </si>
  <si>
    <t>Open:</t>
  </si>
  <si>
    <t>Closed:</t>
  </si>
  <si>
    <t>Yes:</t>
  </si>
  <si>
    <t>No:</t>
  </si>
  <si>
    <t>Key components of a Risk log include:</t>
  </si>
  <si>
    <r>
      <rPr>
        <b/>
        <sz val="11"/>
        <color theme="1"/>
        <rFont val="Aptos Narrow"/>
        <family val="2"/>
        <scheme val="minor"/>
      </rPr>
      <t>Risk ID</t>
    </r>
    <r>
      <rPr>
        <sz val="11"/>
        <color theme="1"/>
        <rFont val="Aptos Narrow"/>
        <family val="2"/>
        <scheme val="minor"/>
      </rPr>
      <t>: A unique identifier for each risk.</t>
    </r>
  </si>
  <si>
    <r>
      <rPr>
        <b/>
        <sz val="11"/>
        <color theme="1"/>
        <rFont val="Aptos Narrow"/>
        <family val="2"/>
        <scheme val="minor"/>
      </rPr>
      <t>Description</t>
    </r>
    <r>
      <rPr>
        <sz val="11"/>
        <color theme="1"/>
        <rFont val="Aptos Narrow"/>
        <family val="2"/>
        <scheme val="minor"/>
      </rPr>
      <t>: A detailed description of the risk.</t>
    </r>
  </si>
  <si>
    <r>
      <rPr>
        <b/>
        <sz val="11"/>
        <color theme="1"/>
        <rFont val="Aptos Narrow"/>
        <family val="2"/>
        <scheme val="minor"/>
      </rPr>
      <t>Owner</t>
    </r>
    <r>
      <rPr>
        <sz val="11"/>
        <color theme="1"/>
        <rFont val="Aptos Narrow"/>
        <family val="2"/>
        <scheme val="minor"/>
      </rPr>
      <t>: The person responsible for managing the risk.</t>
    </r>
  </si>
  <si>
    <r>
      <rPr>
        <b/>
        <sz val="11"/>
        <color theme="1"/>
        <rFont val="Aptos Narrow"/>
        <family val="2"/>
        <scheme val="minor"/>
      </rPr>
      <t>Mitigation Plan</t>
    </r>
    <r>
      <rPr>
        <sz val="11"/>
        <color theme="1"/>
        <rFont val="Aptos Narrow"/>
        <family val="2"/>
        <scheme val="minor"/>
      </rPr>
      <t>: Actions planned to reduce the likelihood or impact of the risk.</t>
    </r>
  </si>
  <si>
    <r>
      <rPr>
        <b/>
        <sz val="11"/>
        <color theme="1"/>
        <rFont val="Aptos Narrow"/>
        <family val="2"/>
        <scheme val="minor"/>
      </rPr>
      <t>Status</t>
    </r>
    <r>
      <rPr>
        <sz val="11"/>
        <color theme="1"/>
        <rFont val="Aptos Narrow"/>
        <family val="2"/>
        <scheme val="minor"/>
      </rPr>
      <t>: Indicates whether the risk is open or closed.</t>
    </r>
  </si>
  <si>
    <r>
      <rPr>
        <b/>
        <sz val="11"/>
        <color theme="1"/>
        <rFont val="Aptos Narrow"/>
        <family val="2"/>
        <scheme val="minor"/>
      </rPr>
      <t>Mitigated</t>
    </r>
    <r>
      <rPr>
        <sz val="11"/>
        <color theme="1"/>
        <rFont val="Aptos Narrow"/>
        <family val="2"/>
        <scheme val="minor"/>
      </rPr>
      <t>: Indicates whether the risk has been mitigated (Yes/No).</t>
    </r>
  </si>
  <si>
    <r>
      <rPr>
        <b/>
        <sz val="11"/>
        <color theme="1"/>
        <rFont val="Aptos Narrow"/>
        <family val="2"/>
        <scheme val="minor"/>
      </rPr>
      <t>Status</t>
    </r>
    <r>
      <rPr>
        <sz val="11"/>
        <color theme="1"/>
        <rFont val="Aptos Narrow"/>
        <family val="2"/>
        <scheme val="minor"/>
      </rPr>
      <t>: Open vs. Closed</t>
    </r>
  </si>
  <si>
    <r>
      <rPr>
        <b/>
        <sz val="11"/>
        <color rgb="FF0070C0"/>
        <rFont val="Aptos Narrow"/>
        <family val="2"/>
        <scheme val="minor"/>
      </rPr>
      <t>Meaning</t>
    </r>
    <r>
      <rPr>
        <sz val="11"/>
        <color theme="1"/>
        <rFont val="Aptos Narrow"/>
        <family val="2"/>
        <scheme val="minor"/>
      </rPr>
      <t>: A risk is considered "open" if it is still a potential threat to the project. It has been identified and documented but has not yet occurred, or its impact is still being managed.</t>
    </r>
  </si>
  <si>
    <r>
      <rPr>
        <b/>
        <sz val="11"/>
        <color rgb="FF7030A0"/>
        <rFont val="Aptos Narrow"/>
        <family val="2"/>
        <scheme val="minor"/>
      </rPr>
      <t>Example</t>
    </r>
    <r>
      <rPr>
        <sz val="11"/>
        <color theme="1"/>
        <rFont val="Aptos Narrow"/>
        <family val="2"/>
        <scheme val="minor"/>
      </rPr>
      <t>: The risk of a key supplier failing to deliver on time remains open until the delivery is confirmed.</t>
    </r>
  </si>
  <si>
    <r>
      <rPr>
        <b/>
        <sz val="11"/>
        <color rgb="FF0070C0"/>
        <rFont val="Aptos Narrow"/>
        <family val="2"/>
        <scheme val="minor"/>
      </rPr>
      <t>Meaning</t>
    </r>
    <r>
      <rPr>
        <sz val="11"/>
        <color theme="1"/>
        <rFont val="Aptos Narrow"/>
        <family val="2"/>
        <scheme val="minor"/>
      </rPr>
      <t>: A risk is marked as "closed" when it is no longer a threat to the project. This could be because the risk has been fully mitigated, the event has passed without occurring, or the project circumstances have changed, rendering the risk irrelevant.</t>
    </r>
  </si>
  <si>
    <r>
      <t xml:space="preserve">Example: </t>
    </r>
    <r>
      <rPr>
        <sz val="11"/>
        <rFont val="Aptos Narrow"/>
        <family val="2"/>
        <scheme val="minor"/>
      </rPr>
      <t>If the key supplier delivers on time, the risk of late delivery is closed.</t>
    </r>
  </si>
  <si>
    <r>
      <rPr>
        <b/>
        <sz val="11"/>
        <color theme="1"/>
        <rFont val="Aptos Narrow"/>
        <family val="2"/>
        <scheme val="minor"/>
      </rPr>
      <t>Mitigated</t>
    </r>
    <r>
      <rPr>
        <sz val="11"/>
        <color theme="1"/>
        <rFont val="Aptos Narrow"/>
        <family val="2"/>
        <scheme val="minor"/>
      </rPr>
      <t>: Yes/No</t>
    </r>
  </si>
  <si>
    <r>
      <rPr>
        <b/>
        <sz val="11"/>
        <color rgb="FF0070C0"/>
        <rFont val="Aptos Narrow"/>
        <family val="2"/>
        <scheme val="minor"/>
      </rPr>
      <t>Meaning</t>
    </r>
    <r>
      <rPr>
        <sz val="11"/>
        <color theme="1"/>
        <rFont val="Aptos Narrow"/>
        <family val="2"/>
        <scheme val="minor"/>
      </rPr>
      <t>: If a risk is marked as "Yes" in the mitigated column, it means that effective actions have been taken to reduce the likelihood or impact of the risk.</t>
    </r>
  </si>
  <si>
    <r>
      <rPr>
        <b/>
        <sz val="11"/>
        <color rgb="FF7030A0"/>
        <rFont val="Aptos Narrow"/>
        <family val="2"/>
        <scheme val="minor"/>
      </rPr>
      <t>Example</t>
    </r>
    <r>
      <rPr>
        <sz val="11"/>
        <color theme="1"/>
        <rFont val="Aptos Narrow"/>
        <family val="2"/>
        <scheme val="minor"/>
      </rPr>
      <t>: Implementing a backup supplier agreement to ensure materials are delivered on time even if the primary supplier fails.</t>
    </r>
  </si>
  <si>
    <r>
      <rPr>
        <b/>
        <sz val="11"/>
        <color theme="1"/>
        <rFont val="Aptos Narrow"/>
        <family val="2"/>
        <scheme val="minor"/>
      </rPr>
      <t>Impact</t>
    </r>
    <r>
      <rPr>
        <sz val="11"/>
        <color theme="1"/>
        <rFont val="Aptos Narrow"/>
        <family val="2"/>
        <scheme val="minor"/>
      </rPr>
      <t>: The potential impact of the risk on the project (e.g., high, moderate, low).</t>
    </r>
  </si>
  <si>
    <r>
      <rPr>
        <b/>
        <sz val="11"/>
        <color theme="1"/>
        <rFont val="Aptos Narrow"/>
        <family val="2"/>
        <scheme val="minor"/>
      </rPr>
      <t>Likelihood</t>
    </r>
    <r>
      <rPr>
        <sz val="11"/>
        <color theme="1"/>
        <rFont val="Aptos Narrow"/>
        <family val="2"/>
        <scheme val="minor"/>
      </rPr>
      <t>: The probability of the risk occurring (e.g., high, moderate, low).</t>
    </r>
  </si>
  <si>
    <r>
      <rPr>
        <b/>
        <sz val="11"/>
        <color rgb="FF0070C0"/>
        <rFont val="Aptos Narrow"/>
        <family val="2"/>
        <scheme val="minor"/>
      </rPr>
      <t>Meaning</t>
    </r>
    <r>
      <rPr>
        <sz val="11"/>
        <color theme="1"/>
        <rFont val="Aptos Narrow"/>
        <family val="2"/>
        <scheme val="minor"/>
      </rPr>
      <t>: If a risk is marked as "No" in the mitigated column, it means that no effective mitigation actions have been taken or that the planned actions have not yet been implemented.</t>
    </r>
  </si>
  <si>
    <r>
      <rPr>
        <b/>
        <sz val="11"/>
        <color rgb="FF7030A0"/>
        <rFont val="Aptos Narrow"/>
        <family val="2"/>
        <scheme val="minor"/>
      </rPr>
      <t>Example</t>
    </r>
    <r>
      <rPr>
        <sz val="11"/>
        <color theme="1"/>
        <rFont val="Aptos Narrow"/>
        <family val="2"/>
        <scheme val="minor"/>
      </rPr>
      <t>: Knowing a supplier might delay delivery but not having any contingency plan in place.</t>
    </r>
  </si>
  <si>
    <r>
      <rPr>
        <b/>
        <sz val="11"/>
        <color theme="1"/>
        <rFont val="Aptos Narrow"/>
        <family val="2"/>
        <scheme val="minor"/>
      </rPr>
      <t>Title</t>
    </r>
    <r>
      <rPr>
        <sz val="11"/>
        <color theme="1"/>
        <rFont val="Aptos Narrow"/>
        <family val="2"/>
        <scheme val="minor"/>
      </rPr>
      <t>: A brief, descriptive title for the risk.</t>
    </r>
  </si>
  <si>
    <r>
      <rPr>
        <b/>
        <sz val="11"/>
        <color theme="1"/>
        <rFont val="Aptos Narrow"/>
        <family val="2"/>
        <scheme val="minor"/>
      </rPr>
      <t>Open / No</t>
    </r>
    <r>
      <rPr>
        <sz val="11"/>
        <color theme="1"/>
        <rFont val="Aptos Narrow"/>
        <family val="2"/>
        <scheme val="minor"/>
      </rPr>
      <t>: The risk is still a potential threat, and no effective mitigation actions have been taken.</t>
    </r>
  </si>
  <si>
    <r>
      <rPr>
        <b/>
        <sz val="11"/>
        <color theme="1"/>
        <rFont val="Aptos Narrow"/>
        <family val="2"/>
        <scheme val="minor"/>
      </rPr>
      <t>Open / Yes</t>
    </r>
    <r>
      <rPr>
        <sz val="11"/>
        <color theme="1"/>
        <rFont val="Aptos Narrow"/>
        <family val="2"/>
        <scheme val="minor"/>
      </rPr>
      <t>: The risk is still a potential threat, but actions have been taken to mitigate its impact or likelihood.</t>
    </r>
  </si>
  <si>
    <r>
      <rPr>
        <b/>
        <sz val="11"/>
        <color theme="1"/>
        <rFont val="Aptos Narrow"/>
        <family val="2"/>
        <scheme val="minor"/>
      </rPr>
      <t>Closed / No</t>
    </r>
    <r>
      <rPr>
        <sz val="11"/>
        <color theme="1"/>
        <rFont val="Aptos Narrow"/>
        <family val="2"/>
        <scheme val="minor"/>
      </rPr>
      <t>: The risk is no longer a threat, but it was not mitigated (perhaps it resolved itself or became irrelevant).</t>
    </r>
  </si>
  <si>
    <r>
      <rPr>
        <b/>
        <sz val="11"/>
        <color theme="1"/>
        <rFont val="Aptos Narrow"/>
        <family val="2"/>
        <scheme val="minor"/>
      </rPr>
      <t>Closed / Yes</t>
    </r>
    <r>
      <rPr>
        <sz val="11"/>
        <color theme="1"/>
        <rFont val="Aptos Narrow"/>
        <family val="2"/>
        <scheme val="minor"/>
      </rPr>
      <t>: The risk is no longer a threat because mitigation actions were effective.</t>
    </r>
  </si>
  <si>
    <t>By maintaining a comprehensive Risk log, we can proactively manage potential threats, ensuring that risks are identified, assessed, and mitigated to minimise their impact on the project.</t>
  </si>
  <si>
    <t>Issues Log</t>
  </si>
  <si>
    <t>Key Components of an Issues Log</t>
  </si>
  <si>
    <t>The Issues log tracks and manages current problems that need to be resolved to ensure the project's success. Unlike risks, which are potential future problems, issues are problems that are currently affecting the project.</t>
  </si>
  <si>
    <t>A well-maintained Issues log includes:</t>
  </si>
  <si>
    <r>
      <rPr>
        <b/>
        <sz val="11"/>
        <color theme="1"/>
        <rFont val="Aptos Narrow"/>
        <family val="2"/>
        <scheme val="minor"/>
      </rPr>
      <t>Title</t>
    </r>
    <r>
      <rPr>
        <sz val="11"/>
        <color theme="1"/>
        <rFont val="Aptos Narrow"/>
        <family val="2"/>
        <scheme val="minor"/>
      </rPr>
      <t>: A brief, descriptive title for the issue.</t>
    </r>
  </si>
  <si>
    <r>
      <rPr>
        <b/>
        <sz val="11"/>
        <color theme="1"/>
        <rFont val="Aptos Narrow"/>
        <family val="2"/>
        <scheme val="minor"/>
      </rPr>
      <t>Issue ID</t>
    </r>
    <r>
      <rPr>
        <sz val="11"/>
        <color theme="1"/>
        <rFont val="Aptos Narrow"/>
        <family val="2"/>
        <scheme val="minor"/>
      </rPr>
      <t>: A unique identifier for each issue.</t>
    </r>
  </si>
  <si>
    <r>
      <rPr>
        <b/>
        <sz val="11"/>
        <color theme="1"/>
        <rFont val="Aptos Narrow"/>
        <family val="2"/>
        <scheme val="minor"/>
      </rPr>
      <t>Description</t>
    </r>
    <r>
      <rPr>
        <sz val="11"/>
        <color theme="1"/>
        <rFont val="Aptos Narrow"/>
        <family val="2"/>
        <scheme val="minor"/>
      </rPr>
      <t>: A detailed description of the issue.</t>
    </r>
  </si>
  <si>
    <r>
      <rPr>
        <b/>
        <sz val="11"/>
        <color theme="1"/>
        <rFont val="Aptos Narrow"/>
        <family val="2"/>
        <scheme val="minor"/>
      </rPr>
      <t>Impact Description</t>
    </r>
    <r>
      <rPr>
        <sz val="11"/>
        <color theme="1"/>
        <rFont val="Aptos Narrow"/>
        <family val="2"/>
        <scheme val="minor"/>
      </rPr>
      <t>: A detailed explanation of how the issue affects the project.</t>
    </r>
  </si>
  <si>
    <r>
      <rPr>
        <b/>
        <sz val="11"/>
        <color theme="1"/>
        <rFont val="Aptos Narrow"/>
        <family val="2"/>
        <scheme val="minor"/>
      </rPr>
      <t>Owner</t>
    </r>
    <r>
      <rPr>
        <sz val="11"/>
        <color theme="1"/>
        <rFont val="Aptos Narrow"/>
        <family val="2"/>
        <scheme val="minor"/>
      </rPr>
      <t>: The person responsible for managing the issue.</t>
    </r>
  </si>
  <si>
    <r>
      <rPr>
        <b/>
        <sz val="11"/>
        <color theme="1"/>
        <rFont val="Aptos Narrow"/>
        <family val="2"/>
        <scheme val="minor"/>
      </rPr>
      <t>Actions</t>
    </r>
    <r>
      <rPr>
        <sz val="11"/>
        <color theme="1"/>
        <rFont val="Aptos Narrow"/>
        <family val="2"/>
        <scheme val="minor"/>
      </rPr>
      <t>: Steps that need to be taken to resolve the issue.</t>
    </r>
  </si>
  <si>
    <r>
      <rPr>
        <b/>
        <sz val="11"/>
        <color theme="1"/>
        <rFont val="Aptos Narrow"/>
        <family val="2"/>
        <scheme val="minor"/>
      </rPr>
      <t>Status</t>
    </r>
    <r>
      <rPr>
        <sz val="11"/>
        <color theme="1"/>
        <rFont val="Aptos Narrow"/>
        <family val="2"/>
        <scheme val="minor"/>
      </rPr>
      <t>: Indicates whether the issue is open or closed.</t>
    </r>
  </si>
  <si>
    <r>
      <rPr>
        <b/>
        <sz val="11"/>
        <color theme="1"/>
        <rFont val="Aptos Narrow"/>
        <family val="2"/>
        <scheme val="minor"/>
      </rPr>
      <t>Issue Score</t>
    </r>
    <r>
      <rPr>
        <sz val="11"/>
        <color theme="1"/>
        <rFont val="Aptos Narrow"/>
        <family val="2"/>
        <scheme val="minor"/>
      </rPr>
      <t>: The potential impact of the issue on the project (e.g., high, moderate, low).</t>
    </r>
  </si>
  <si>
    <t>Actions:</t>
  </si>
  <si>
    <t>Impact Description:</t>
  </si>
  <si>
    <r>
      <rPr>
        <b/>
        <sz val="11"/>
        <color rgb="FF0070C0"/>
        <rFont val="Aptos Narrow"/>
        <family val="2"/>
        <scheme val="minor"/>
      </rPr>
      <t>Meaning</t>
    </r>
    <r>
      <rPr>
        <sz val="11"/>
        <color theme="1"/>
        <rFont val="Aptos Narrow"/>
        <family val="2"/>
        <scheme val="minor"/>
      </rPr>
      <t>: The Impact Description column provides a detailed explanation of the issue's effect on the project. It describes the severity and scope of the impact, helping to prioritize the issue and understand its implications.</t>
    </r>
  </si>
  <si>
    <r>
      <rPr>
        <b/>
        <sz val="11"/>
        <color rgb="FF7030A0"/>
        <rFont val="Aptos Narrow"/>
        <family val="2"/>
        <scheme val="minor"/>
      </rPr>
      <t>Example</t>
    </r>
    <r>
      <rPr>
        <sz val="11"/>
        <color theme="1"/>
        <rFont val="Aptos Narrow"/>
        <family val="2"/>
        <scheme val="minor"/>
      </rPr>
      <t>: If the software bug is causing data loss, the impact description might detail the extent of the data affected, potential delays, and the risk of not addressing the issue promptly.</t>
    </r>
  </si>
  <si>
    <r>
      <rPr>
        <b/>
        <sz val="11"/>
        <color rgb="FF0070C0"/>
        <rFont val="Aptos Narrow"/>
        <family val="2"/>
        <scheme val="minor"/>
      </rPr>
      <t>Meaning</t>
    </r>
    <r>
      <rPr>
        <sz val="11"/>
        <color theme="1"/>
        <rFont val="Aptos Narrow"/>
        <family val="2"/>
        <scheme val="minor"/>
      </rPr>
      <t>: The Actions column lists the steps or measures that need to be taken to resolve the issue. It outlines the specific tasks, responsible parties, and deadlines for addressing the issue.</t>
    </r>
  </si>
  <si>
    <r>
      <rPr>
        <b/>
        <sz val="11"/>
        <color rgb="FF7030A0"/>
        <rFont val="Aptos Narrow"/>
        <family val="2"/>
        <scheme val="minor"/>
      </rPr>
      <t>Example</t>
    </r>
    <r>
      <rPr>
        <sz val="11"/>
        <color theme="1"/>
        <rFont val="Aptos Narrow"/>
        <family val="2"/>
        <scheme val="minor"/>
      </rPr>
      <t>: Actions for a software bug might include debugging the code, testing the fix, and deploying the updated software.</t>
    </r>
  </si>
  <si>
    <r>
      <rPr>
        <b/>
        <sz val="11"/>
        <color rgb="FF0070C0"/>
        <rFont val="Aptos Narrow"/>
        <family val="2"/>
        <scheme val="minor"/>
      </rPr>
      <t>Meaning</t>
    </r>
    <r>
      <rPr>
        <sz val="11"/>
        <color theme="1"/>
        <rFont val="Aptos Narrow"/>
        <family val="2"/>
        <scheme val="minor"/>
      </rPr>
      <t>: An issue is marked as "closed" when it has been resolved and no longer affects the project. The actions taken to address the issue have been completed, and the issue is considered resolved.</t>
    </r>
  </si>
  <si>
    <r>
      <rPr>
        <b/>
        <sz val="11"/>
        <color rgb="FF7030A0"/>
        <rFont val="Aptos Narrow"/>
        <family val="2"/>
        <scheme val="minor"/>
      </rPr>
      <t>Example</t>
    </r>
    <r>
      <rPr>
        <sz val="11"/>
        <color theme="1"/>
        <rFont val="Aptos Narrow"/>
        <family val="2"/>
        <scheme val="minor"/>
      </rPr>
      <t>: The software bug has been fixed, tested, and verified, so the issue is closed.</t>
    </r>
  </si>
  <si>
    <r>
      <rPr>
        <b/>
        <sz val="11"/>
        <color rgb="FF0070C0"/>
        <rFont val="Aptos Narrow"/>
        <family val="2"/>
        <scheme val="minor"/>
      </rPr>
      <t>Meaning</t>
    </r>
    <r>
      <rPr>
        <sz val="11"/>
        <color theme="1"/>
        <rFont val="Aptos Narrow"/>
        <family val="2"/>
        <scheme val="minor"/>
      </rPr>
      <t>: An issue is considered "open" if it is currently affecting the project and has not yet been resolved. It requires attention and action to be taken to mitigate its impact.</t>
    </r>
  </si>
  <si>
    <r>
      <rPr>
        <b/>
        <sz val="11"/>
        <color rgb="FF7030A0"/>
        <rFont val="Aptos Narrow"/>
        <family val="2"/>
        <scheme val="minor"/>
      </rPr>
      <t>Example</t>
    </r>
    <r>
      <rPr>
        <sz val="11"/>
        <color theme="1"/>
        <rFont val="Aptos Narrow"/>
        <family val="2"/>
        <scheme val="minor"/>
      </rPr>
      <t>: A software bug discovered during testing that is preventing progress is an open issue.</t>
    </r>
  </si>
  <si>
    <t>By maintaining a comprehensive Issues log, we can ensure that current problems are identified, assessed, and resolved efficiently, minimizing their impact on the project.</t>
  </si>
  <si>
    <t>Dependencies Log</t>
  </si>
  <si>
    <t>Key Components of a Dependencies Log</t>
  </si>
  <si>
    <t>Meaning: The Priority column indicates the importance of the dependency in relation to the project's timeline and objectives. It helps prioritize which dependencies need more immediate attention.</t>
  </si>
  <si>
    <t>The Dependencies log tracks and manages dependencies, which are tasks, activities, or deliverables that rely on the completion of other tasks, activities, or deliverables within or outside the project.</t>
  </si>
  <si>
    <t>A well-maintained Dependencies log includes:</t>
  </si>
  <si>
    <r>
      <rPr>
        <b/>
        <sz val="11"/>
        <color theme="1"/>
        <rFont val="Aptos Narrow"/>
        <family val="2"/>
        <scheme val="minor"/>
      </rPr>
      <t>Dependency ID</t>
    </r>
    <r>
      <rPr>
        <sz val="11"/>
        <color theme="1"/>
        <rFont val="Aptos Narrow"/>
        <family val="2"/>
        <scheme val="minor"/>
      </rPr>
      <t>: A unique identifier for each dependency.</t>
    </r>
  </si>
  <si>
    <r>
      <rPr>
        <b/>
        <sz val="11"/>
        <color theme="1"/>
        <rFont val="Aptos Narrow"/>
        <family val="2"/>
        <scheme val="minor"/>
      </rPr>
      <t>Title</t>
    </r>
    <r>
      <rPr>
        <sz val="11"/>
        <color theme="1"/>
        <rFont val="Aptos Narrow"/>
        <family val="2"/>
        <scheme val="minor"/>
      </rPr>
      <t>: A brief, descriptive title for the dependency.</t>
    </r>
  </si>
  <si>
    <r>
      <rPr>
        <b/>
        <sz val="11"/>
        <color theme="1"/>
        <rFont val="Aptos Narrow"/>
        <family val="2"/>
        <scheme val="minor"/>
      </rPr>
      <t>Description</t>
    </r>
    <r>
      <rPr>
        <sz val="11"/>
        <color theme="1"/>
        <rFont val="Aptos Narrow"/>
        <family val="2"/>
        <scheme val="minor"/>
      </rPr>
      <t>: A detailed description of the dependency.</t>
    </r>
  </si>
  <si>
    <r>
      <rPr>
        <b/>
        <sz val="11"/>
        <color theme="1"/>
        <rFont val="Aptos Narrow"/>
        <family val="2"/>
        <scheme val="minor"/>
      </rPr>
      <t>Impact Description</t>
    </r>
    <r>
      <rPr>
        <sz val="11"/>
        <color theme="1"/>
        <rFont val="Aptos Narrow"/>
        <family val="2"/>
        <scheme val="minor"/>
      </rPr>
      <t>: A detailed explanation of how the dependency affects the project.</t>
    </r>
  </si>
  <si>
    <r>
      <rPr>
        <b/>
        <sz val="11"/>
        <color theme="1"/>
        <rFont val="Aptos Narrow"/>
        <family val="2"/>
        <scheme val="minor"/>
      </rPr>
      <t>Owner</t>
    </r>
    <r>
      <rPr>
        <sz val="11"/>
        <color theme="1"/>
        <rFont val="Aptos Narrow"/>
        <family val="2"/>
        <scheme val="minor"/>
      </rPr>
      <t>: The person responsible for managing the dependency.</t>
    </r>
  </si>
  <si>
    <r>
      <rPr>
        <b/>
        <sz val="11"/>
        <color theme="1"/>
        <rFont val="Aptos Narrow"/>
        <family val="2"/>
        <scheme val="minor"/>
      </rPr>
      <t>Priority</t>
    </r>
    <r>
      <rPr>
        <sz val="11"/>
        <color theme="1"/>
        <rFont val="Aptos Narrow"/>
        <family val="2"/>
        <scheme val="minor"/>
      </rPr>
      <t>: The level of priority assigned to the dependency (e.g., high, moderate, low).</t>
    </r>
  </si>
  <si>
    <t>Priority</t>
  </si>
  <si>
    <r>
      <rPr>
        <b/>
        <sz val="11"/>
        <color rgb="FFFF0000"/>
        <rFont val="Aptos Narrow"/>
        <family val="2"/>
        <scheme val="minor"/>
      </rPr>
      <t>High</t>
    </r>
    <r>
      <rPr>
        <sz val="11"/>
        <color theme="1"/>
        <rFont val="Aptos Narrow"/>
        <family val="2"/>
        <scheme val="minor"/>
      </rPr>
      <t>: Critical to project success; delays or issues will have a significant impact.</t>
    </r>
  </si>
  <si>
    <r>
      <rPr>
        <b/>
        <sz val="11"/>
        <color rgb="FFFFC000"/>
        <rFont val="Aptos Narrow"/>
        <family val="2"/>
        <scheme val="minor"/>
      </rPr>
      <t>Moderate</t>
    </r>
    <r>
      <rPr>
        <sz val="11"/>
        <color theme="1"/>
        <rFont val="Aptos Narrow"/>
        <family val="2"/>
        <scheme val="minor"/>
      </rPr>
      <t>: Important but not critical; manageable delays or issues.</t>
    </r>
  </si>
  <si>
    <r>
      <rPr>
        <b/>
        <sz val="11"/>
        <color rgb="FF00B050"/>
        <rFont val="Aptos Narrow"/>
        <family val="2"/>
        <scheme val="minor"/>
      </rPr>
      <t>Low</t>
    </r>
    <r>
      <rPr>
        <sz val="11"/>
        <color theme="1"/>
        <rFont val="Aptos Narrow"/>
        <family val="2"/>
        <scheme val="minor"/>
      </rPr>
      <t>: Minor impact; delays or issues will have minimal impact on the project.</t>
    </r>
  </si>
  <si>
    <t>Impact Description</t>
  </si>
  <si>
    <r>
      <rPr>
        <b/>
        <sz val="11"/>
        <color rgb="FF0070C0"/>
        <rFont val="Aptos Narrow"/>
        <family val="2"/>
        <scheme val="minor"/>
      </rPr>
      <t>Meaning:</t>
    </r>
    <r>
      <rPr>
        <sz val="11"/>
        <color theme="1"/>
        <rFont val="Aptos Narrow"/>
        <family val="2"/>
        <scheme val="minor"/>
      </rPr>
      <t xml:space="preserve"> The Impact Description column provides a detailed explanation of how the dependency affects the project. It describes the potential consequences of not fulfilling the dependency on time or as expected.</t>
    </r>
  </si>
  <si>
    <r>
      <rPr>
        <b/>
        <sz val="11"/>
        <color rgb="FF7030A0"/>
        <rFont val="Aptos Narrow"/>
        <family val="2"/>
        <scheme val="minor"/>
      </rPr>
      <t>Example</t>
    </r>
    <r>
      <rPr>
        <sz val="11"/>
        <color theme="1"/>
        <rFont val="Aptos Narrow"/>
        <family val="2"/>
        <scheme val="minor"/>
      </rPr>
      <t>: If the dependency is on a software module delivery, the impact description might detail potential project delays, increased costs, or resource reallocations required if the module is not delivered on time.</t>
    </r>
  </si>
  <si>
    <t>COMMITTED</t>
  </si>
  <si>
    <r>
      <rPr>
        <b/>
        <sz val="11"/>
        <color theme="1"/>
        <rFont val="Aptos Narrow"/>
        <family val="2"/>
        <scheme val="minor"/>
      </rPr>
      <t>Status</t>
    </r>
    <r>
      <rPr>
        <sz val="11"/>
        <color theme="1"/>
        <rFont val="Aptos Narrow"/>
        <family val="2"/>
        <scheme val="minor"/>
      </rPr>
      <t>:  Indicates the current state of the dependency</t>
    </r>
  </si>
  <si>
    <r>
      <rPr>
        <b/>
        <sz val="11"/>
        <color theme="1"/>
        <rFont val="Aptos Narrow"/>
        <family val="2"/>
        <scheme val="minor"/>
      </rPr>
      <t>Status</t>
    </r>
    <r>
      <rPr>
        <sz val="11"/>
        <color theme="1"/>
        <rFont val="Aptos Narrow"/>
        <family val="2"/>
        <scheme val="minor"/>
      </rPr>
      <t>: Committed vs. Not Committed</t>
    </r>
  </si>
  <si>
    <t>Committed:</t>
  </si>
  <si>
    <t>Not Committed:</t>
  </si>
  <si>
    <r>
      <rPr>
        <b/>
        <sz val="11"/>
        <color rgb="FF0070C0"/>
        <rFont val="Aptos Narrow"/>
        <family val="2"/>
        <scheme val="minor"/>
      </rPr>
      <t>Meaning</t>
    </r>
    <r>
      <rPr>
        <sz val="11"/>
        <color theme="1"/>
        <rFont val="Aptos Narrow"/>
        <family val="2"/>
        <scheme val="minor"/>
      </rPr>
      <t>: The dependency has been acknowledged, agreed upon, and committed to by all relevant parties. This indicates a clear understanding and acceptance of the dependency's importance and the necessary actions to ensure its resolution.</t>
    </r>
  </si>
  <si>
    <r>
      <rPr>
        <b/>
        <sz val="11"/>
        <color rgb="FF0070C0"/>
        <rFont val="Aptos Narrow"/>
        <family val="2"/>
        <scheme val="minor"/>
      </rPr>
      <t>Meaning</t>
    </r>
    <r>
      <rPr>
        <sz val="11"/>
        <color theme="1"/>
        <rFont val="Aptos Narrow"/>
        <family val="2"/>
        <scheme val="minor"/>
      </rPr>
      <t>: The dependency has not yet been acknowledged or agreed upon by all relevant parties. This may indicate uncertainty, disagreement, or lack of clarity regarding the dependency and its implications.</t>
    </r>
  </si>
  <si>
    <t>Fill in Grey fields ONLY</t>
  </si>
  <si>
    <t>Executive Summary</t>
  </si>
  <si>
    <t>Programme Name:</t>
  </si>
  <si>
    <t>Project Manager:</t>
  </si>
  <si>
    <t>Programme Health</t>
  </si>
  <si>
    <t>Governance Health Score:</t>
  </si>
  <si>
    <t>61+  = Significant concern</t>
  </si>
  <si>
    <t>31-60  = Needs attention</t>
  </si>
  <si>
    <t>0-30= Excellent governance health</t>
  </si>
  <si>
    <t>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</si>
</sst>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 ??/100"/>
  </numFmts>
  <fonts count="32" x14ac:knownFonts="1">
    <font>
      <sz val="11"/>
      <color theme="1"/>
      <name val="Aptos Narrow"/>
      <family val="2"/>
      <scheme val="minor"/>
    </font>
    <font>
      <b/>
      <sz val="11"/>
      <color theme="0"/>
      <name val="Aptos Narrow"/>
      <family val="2"/>
      <scheme val="minor"/>
    </font>
    <font>
      <b/>
      <sz val="11"/>
      <color theme="1"/>
      <name val="Aptos Narrow"/>
      <family val="2"/>
      <scheme val="minor"/>
    </font>
    <font>
      <sz val="72"/>
      <color theme="1"/>
      <name val="Aptos Narrow"/>
      <family val="2"/>
      <scheme val="minor"/>
    </font>
    <font>
      <sz val="14"/>
      <color theme="1"/>
      <name val="Aptos Narrow"/>
      <family val="2"/>
      <scheme val="minor"/>
    </font>
    <font>
      <sz val="72"/>
      <color theme="0"/>
      <name val="Aptos Narrow"/>
      <family val="2"/>
      <scheme val="minor"/>
    </font>
    <font>
      <sz val="16"/>
      <color theme="0"/>
      <name val="Aptos Narrow"/>
      <family val="2"/>
      <scheme val="minor"/>
    </font>
    <font>
      <b/>
      <sz val="26"/>
      <color theme="0"/>
      <name val="Calibri"/>
      <family val="2"/>
    </font>
    <font>
      <sz val="8"/>
      <name val="Aptos Narrow"/>
      <family val="2"/>
      <scheme val="minor"/>
    </font>
    <font>
      <b/>
      <sz val="8"/>
      <color theme="0"/>
      <name val="Aptos Narrow"/>
      <family val="2"/>
      <scheme val="minor"/>
    </font>
    <font>
      <b/>
      <sz val="18"/>
      <color theme="1" tint="0.499984740745262"/>
      <name val="Aptos Narrow"/>
      <family val="2"/>
      <scheme val="minor"/>
    </font>
    <font>
      <b/>
      <sz val="11"/>
      <name val="Aptos Narrow"/>
      <family val="2"/>
      <scheme val="minor"/>
    </font>
    <font>
      <sz val="11"/>
      <name val="Aptos Narrow"/>
      <family val="2"/>
      <scheme val="minor"/>
    </font>
    <font>
      <b/>
      <sz val="20"/>
      <color theme="1"/>
      <name val="Aptos Narrow"/>
      <family val="2"/>
      <scheme val="minor"/>
    </font>
    <font>
      <b/>
      <sz val="14"/>
      <color theme="1"/>
      <name val="Aptos Narrow"/>
      <family val="2"/>
      <scheme val="minor"/>
    </font>
    <font>
      <b/>
      <sz val="11"/>
      <color rgb="FF00B050"/>
      <name val="Aptos Narrow"/>
      <family val="2"/>
      <scheme val="minor"/>
    </font>
    <font>
      <b/>
      <sz val="11"/>
      <color rgb="FFFFC000"/>
      <name val="Aptos Narrow"/>
      <family val="2"/>
      <scheme val="minor"/>
    </font>
    <font>
      <b/>
      <sz val="11"/>
      <color rgb="FFFF0000"/>
      <name val="Aptos Narrow"/>
      <family val="2"/>
      <scheme val="minor"/>
    </font>
    <font>
      <sz val="11"/>
      <color theme="1"/>
      <name val="Aptos Narrow"/>
      <family val="2"/>
      <scheme val="minor"/>
    </font>
    <font>
      <b/>
      <u/>
      <sz val="14"/>
      <color theme="1"/>
      <name val="Aptos Narrow"/>
      <family val="2"/>
      <scheme val="minor"/>
    </font>
    <font>
      <b/>
      <sz val="14"/>
      <color rgb="FF00B050"/>
      <name val="Aptos Narrow"/>
      <family val="2"/>
      <scheme val="minor"/>
    </font>
    <font>
      <b/>
      <sz val="14"/>
      <color rgb="FFFFC000"/>
      <name val="Aptos Narrow"/>
      <family val="2"/>
      <scheme val="minor"/>
    </font>
    <font>
      <b/>
      <sz val="14"/>
      <color rgb="FFFF0000"/>
      <name val="Aptos Narrow"/>
      <family val="2"/>
      <scheme val="minor"/>
    </font>
    <font>
      <sz val="14"/>
      <color rgb="FF00B050"/>
      <name val="Aptos Narrow"/>
      <family val="2"/>
      <scheme val="minor"/>
    </font>
    <font>
      <b/>
      <sz val="11"/>
      <color rgb="FF0070C0"/>
      <name val="Aptos Narrow"/>
      <family val="2"/>
      <scheme val="minor"/>
    </font>
    <font>
      <b/>
      <sz val="11"/>
      <color theme="8"/>
      <name val="Aptos Narrow"/>
      <family val="2"/>
      <scheme val="minor"/>
    </font>
    <font>
      <b/>
      <sz val="11"/>
      <color rgb="FF7030A0"/>
      <name val="Aptos Narrow"/>
      <family val="2"/>
      <scheme val="minor"/>
    </font>
    <font>
      <b/>
      <u/>
      <sz val="22"/>
      <color theme="1"/>
      <name val="Aptos Narrow"/>
      <family val="2"/>
      <scheme val="minor"/>
    </font>
    <font>
      <sz val="10"/>
      <name val="Aptos Narrow"/>
      <family val="2"/>
      <scheme val="minor"/>
    </font>
    <font>
      <b/>
      <sz val="10"/>
      <name val="Aptos Narrow"/>
      <family val="2"/>
      <scheme val="minor"/>
    </font>
    <font>
      <b/>
      <sz val="14"/>
      <name val="Aptos Narrow"/>
      <family val="2"/>
      <scheme val="minor"/>
    </font>
    <font>
      <b/>
      <sz val="14"/>
      <color theme="0"/>
      <name val="Aptos Narrow"/>
      <family val="2"/>
      <scheme val="minor"/>
    </font>
  </fonts>
  <fills count="13">
    <fill>
      <patternFill patternType="none"/>
    </fill>
    <fill>
      <patternFill patternType="gray125"/>
    </fill>
    <fill>
      <patternFill patternType="solid">
        <fgColor theme="1" tint="0.249977111117893"/>
        <bgColor indexed="64"/>
      </patternFill>
    </fill>
    <fill>
      <patternFill patternType="solid">
        <fgColor rgb="FFFF0000"/>
        <bgColor indexed="64"/>
      </patternFill>
    </fill>
    <fill>
      <patternFill patternType="solid">
        <fgColor rgb="FFFFC000"/>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theme="3" tint="0.749992370372631"/>
        <bgColor indexed="64"/>
      </patternFill>
    </fill>
    <fill>
      <patternFill patternType="solid">
        <fgColor rgb="FF00FF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FF00"/>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8" fillId="0" borderId="0" applyFont="0" applyFill="0" applyBorder="0" applyAlignment="0" applyProtection="0"/>
  </cellStyleXfs>
  <cellXfs count="134">
    <xf numFmtId="0" fontId="0" fillId="0" borderId="0" xfId="0"/>
    <xf numFmtId="0" fontId="0" fillId="0" borderId="0" xfId="0" applyAlignment="1">
      <alignment horizontal="center"/>
    </xf>
    <xf numFmtId="0" fontId="0" fillId="0" borderId="12" xfId="0" applyBorder="1"/>
    <xf numFmtId="0" fontId="0" fillId="0" borderId="12" xfId="0" applyBorder="1" applyAlignment="1">
      <alignment horizontal="center"/>
    </xf>
    <xf numFmtId="0" fontId="1" fillId="6" borderId="12" xfId="0" applyFont="1" applyFill="1" applyBorder="1"/>
    <xf numFmtId="0" fontId="9" fillId="6" borderId="12" xfId="0" applyFont="1" applyFill="1" applyBorder="1" applyAlignment="1">
      <alignment horizontal="center"/>
    </xf>
    <xf numFmtId="0" fontId="2" fillId="0" borderId="0" xfId="0" applyFont="1"/>
    <xf numFmtId="0" fontId="0" fillId="7" borderId="0" xfId="0" applyFill="1"/>
    <xf numFmtId="0" fontId="2" fillId="7" borderId="0" xfId="0" applyFont="1" applyFill="1"/>
    <xf numFmtId="0" fontId="10" fillId="0" borderId="0" xfId="0" applyFont="1"/>
    <xf numFmtId="49" fontId="0" fillId="9" borderId="12" xfId="0" applyNumberFormat="1" applyFill="1" applyBorder="1"/>
    <xf numFmtId="49" fontId="0" fillId="0" borderId="12" xfId="0" applyNumberFormat="1" applyBorder="1" applyAlignment="1">
      <alignment vertical="top"/>
    </xf>
    <xf numFmtId="0" fontId="0" fillId="0" borderId="0" xfId="0" applyAlignment="1">
      <alignment vertical="top"/>
    </xf>
    <xf numFmtId="0" fontId="1" fillId="6" borderId="12" xfId="0" applyFont="1" applyFill="1" applyBorder="1" applyAlignment="1">
      <alignment vertical="center"/>
    </xf>
    <xf numFmtId="0" fontId="0" fillId="0" borderId="0" xfId="0" applyAlignment="1">
      <alignment vertical="center"/>
    </xf>
    <xf numFmtId="49" fontId="0" fillId="4" borderId="12" xfId="0" applyNumberFormat="1" applyFill="1" applyBorder="1"/>
    <xf numFmtId="49" fontId="0" fillId="3" borderId="12" xfId="0" applyNumberFormat="1" applyFill="1" applyBorder="1"/>
    <xf numFmtId="0" fontId="1" fillId="6" borderId="12" xfId="0" applyFont="1" applyFill="1" applyBorder="1" applyAlignment="1">
      <alignment vertical="center" wrapText="1"/>
    </xf>
    <xf numFmtId="0" fontId="1" fillId="6" borderId="13" xfId="0" applyFont="1" applyFill="1" applyBorder="1" applyAlignment="1">
      <alignment vertical="center" wrapText="1"/>
    </xf>
    <xf numFmtId="0" fontId="2" fillId="0" borderId="12" xfId="0" applyFont="1" applyBorder="1"/>
    <xf numFmtId="49" fontId="0" fillId="0" borderId="12" xfId="0" applyNumberFormat="1" applyBorder="1"/>
    <xf numFmtId="0" fontId="13" fillId="0" borderId="0" xfId="0" applyFont="1"/>
    <xf numFmtId="0" fontId="0" fillId="0" borderId="0" xfId="0" applyAlignment="1">
      <alignment horizontal="center" vertical="center"/>
    </xf>
    <xf numFmtId="0" fontId="1" fillId="6" borderId="12" xfId="0" applyFont="1" applyFill="1" applyBorder="1" applyAlignment="1">
      <alignment horizontal="center" vertical="center"/>
    </xf>
    <xf numFmtId="49" fontId="4" fillId="9" borderId="12" xfId="0" applyNumberFormat="1" applyFont="1" applyFill="1" applyBorder="1" applyAlignment="1">
      <alignment horizontal="center"/>
    </xf>
    <xf numFmtId="49" fontId="4" fillId="4" borderId="12" xfId="0" applyNumberFormat="1" applyFont="1" applyFill="1" applyBorder="1" applyAlignment="1">
      <alignment horizontal="center"/>
    </xf>
    <xf numFmtId="49" fontId="4" fillId="3" borderId="12" xfId="0" applyNumberFormat="1" applyFont="1" applyFill="1" applyBorder="1" applyAlignment="1">
      <alignment horizontal="center"/>
    </xf>
    <xf numFmtId="0" fontId="4" fillId="0" borderId="0" xfId="0" applyFont="1"/>
    <xf numFmtId="0" fontId="4" fillId="0" borderId="12" xfId="0" applyFont="1" applyBorder="1" applyAlignment="1">
      <alignment horizontal="center"/>
    </xf>
    <xf numFmtId="0" fontId="19" fillId="0" borderId="0" xfId="0" applyFont="1"/>
    <xf numFmtId="0" fontId="14" fillId="0" borderId="0" xfId="0" applyFont="1"/>
    <xf numFmtId="0" fontId="20" fillId="0" borderId="0" xfId="0" applyFont="1"/>
    <xf numFmtId="0" fontId="21" fillId="0" borderId="0" xfId="0" applyFont="1"/>
    <xf numFmtId="0" fontId="22" fillId="0" borderId="0" xfId="0" applyFont="1"/>
    <xf numFmtId="0" fontId="1" fillId="10" borderId="18" xfId="0" applyFont="1" applyFill="1" applyBorder="1"/>
    <xf numFmtId="9" fontId="14" fillId="0" borderId="18" xfId="1" applyFont="1" applyBorder="1" applyAlignment="1">
      <alignment horizontal="center"/>
    </xf>
    <xf numFmtId="0" fontId="0" fillId="0" borderId="0" xfId="0" applyAlignment="1">
      <alignment horizontal="left" indent="2"/>
    </xf>
    <xf numFmtId="0" fontId="12" fillId="0" borderId="0" xfId="0" applyFont="1"/>
    <xf numFmtId="0" fontId="27" fillId="0" borderId="0" xfId="0" applyFont="1"/>
    <xf numFmtId="0" fontId="26" fillId="0" borderId="0" xfId="0" applyFont="1"/>
    <xf numFmtId="0" fontId="2" fillId="0" borderId="12" xfId="0" applyFont="1" applyBorder="1" applyAlignment="1">
      <alignment horizontal="center"/>
    </xf>
    <xf numFmtId="0" fontId="0" fillId="0" borderId="0" xfId="0" applyAlignment="1">
      <alignment wrapText="1"/>
    </xf>
    <xf numFmtId="0" fontId="1" fillId="6" borderId="12" xfId="0" applyFont="1" applyFill="1" applyBorder="1" applyAlignment="1">
      <alignment wrapText="1"/>
    </xf>
    <xf numFmtId="0" fontId="0" fillId="0" borderId="12" xfId="0" applyBorder="1" applyAlignment="1">
      <alignment horizontal="center" vertical="center"/>
    </xf>
    <xf numFmtId="49" fontId="11" fillId="3" borderId="12" xfId="0" applyNumberFormat="1" applyFont="1" applyFill="1" applyBorder="1"/>
    <xf numFmtId="49" fontId="11" fillId="4" borderId="12" xfId="0" applyNumberFormat="1" applyFont="1" applyFill="1" applyBorder="1"/>
    <xf numFmtId="49" fontId="11" fillId="9" borderId="12" xfId="0" applyNumberFormat="1" applyFont="1" applyFill="1" applyBorder="1"/>
    <xf numFmtId="0" fontId="0" fillId="11" borderId="12" xfId="0" applyFill="1" applyBorder="1" applyAlignment="1" applyProtection="1">
      <alignment vertical="top" wrapText="1"/>
      <protection locked="0"/>
    </xf>
    <xf numFmtId="0" fontId="0" fillId="11" borderId="12" xfId="0" applyFill="1" applyBorder="1" applyAlignment="1" applyProtection="1">
      <alignment vertical="top"/>
      <protection locked="0"/>
    </xf>
    <xf numFmtId="164" fontId="0" fillId="11" borderId="12" xfId="0" applyNumberFormat="1" applyFill="1" applyBorder="1" applyAlignment="1" applyProtection="1">
      <alignment horizontal="center" vertical="center"/>
      <protection locked="0"/>
    </xf>
    <xf numFmtId="0" fontId="2" fillId="11" borderId="12" xfId="0" applyFont="1" applyFill="1" applyBorder="1" applyAlignment="1" applyProtection="1">
      <alignment horizontal="center" vertical="center"/>
      <protection locked="0"/>
    </xf>
    <xf numFmtId="0" fontId="0" fillId="11" borderId="12" xfId="0" applyFill="1" applyBorder="1" applyAlignment="1" applyProtection="1">
      <alignment horizontal="center" vertical="top" wrapText="1"/>
      <protection locked="0"/>
    </xf>
    <xf numFmtId="0" fontId="11" fillId="11" borderId="12" xfId="0" applyFont="1" applyFill="1" applyBorder="1" applyAlignment="1" applyProtection="1">
      <alignment horizontal="center" vertical="center"/>
      <protection locked="0"/>
    </xf>
    <xf numFmtId="0" fontId="0" fillId="11" borderId="12" xfId="0" applyFill="1" applyBorder="1" applyAlignment="1" applyProtection="1">
      <alignment vertical="center"/>
      <protection locked="0"/>
    </xf>
    <xf numFmtId="0" fontId="12" fillId="11" borderId="12" xfId="0" applyFont="1" applyFill="1" applyBorder="1" applyAlignment="1" applyProtection="1">
      <alignment horizontal="center" vertical="center"/>
      <protection locked="0"/>
    </xf>
    <xf numFmtId="0" fontId="1" fillId="11" borderId="12" xfId="0" applyFont="1" applyFill="1" applyBorder="1" applyAlignment="1" applyProtection="1">
      <alignment vertical="top"/>
      <protection locked="0"/>
    </xf>
    <xf numFmtId="0" fontId="0" fillId="11" borderId="12" xfId="0" applyFill="1" applyBorder="1" applyAlignment="1" applyProtection="1">
      <alignment horizontal="center" vertical="center"/>
      <protection locked="0"/>
    </xf>
    <xf numFmtId="0" fontId="0" fillId="11" borderId="12" xfId="0" applyFill="1" applyBorder="1" applyAlignment="1" applyProtection="1">
      <alignment horizontal="center" vertical="center" wrapText="1"/>
      <protection locked="0"/>
    </xf>
    <xf numFmtId="0" fontId="0" fillId="8" borderId="2" xfId="0" applyFill="1" applyBorder="1"/>
    <xf numFmtId="0" fontId="0" fillId="8" borderId="3" xfId="0" applyFill="1" applyBorder="1"/>
    <xf numFmtId="0" fontId="0" fillId="8" borderId="4" xfId="0" applyFill="1" applyBorder="1"/>
    <xf numFmtId="0" fontId="0" fillId="8" borderId="0" xfId="0" applyFill="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0" fillId="0" borderId="7" xfId="0" applyBorder="1"/>
    <xf numFmtId="0" fontId="0" fillId="0" borderId="10" xfId="0" applyBorder="1"/>
    <xf numFmtId="0" fontId="0" fillId="0" borderId="11" xfId="0" applyBorder="1"/>
    <xf numFmtId="0" fontId="29" fillId="0" borderId="0" xfId="0" applyFont="1"/>
    <xf numFmtId="0" fontId="28" fillId="0" borderId="10" xfId="0" applyFont="1" applyBorder="1"/>
    <xf numFmtId="0" fontId="30" fillId="0" borderId="9" xfId="0" applyFont="1" applyBorder="1"/>
    <xf numFmtId="0" fontId="30" fillId="0" borderId="6" xfId="0" applyFont="1" applyBorder="1"/>
    <xf numFmtId="0" fontId="0" fillId="0" borderId="8" xfId="0" applyBorder="1"/>
    <xf numFmtId="0" fontId="0" fillId="12" borderId="0" xfId="0" applyFill="1"/>
    <xf numFmtId="0" fontId="1" fillId="0" borderId="12" xfId="0" applyFont="1" applyBorder="1" applyAlignment="1">
      <alignment horizontal="center" vertical="center"/>
    </xf>
    <xf numFmtId="0" fontId="30" fillId="0" borderId="0" xfId="0" applyFont="1"/>
    <xf numFmtId="0" fontId="28" fillId="0" borderId="0" xfId="0" applyFont="1"/>
    <xf numFmtId="165" fontId="30" fillId="0" borderId="0" xfId="0" applyNumberFormat="1" applyFont="1" applyAlignment="1">
      <alignment horizontal="center"/>
    </xf>
    <xf numFmtId="0" fontId="1" fillId="10" borderId="1" xfId="0" applyFont="1" applyFill="1" applyBorder="1"/>
    <xf numFmtId="0" fontId="1" fillId="10" borderId="2" xfId="0" applyFont="1" applyFill="1" applyBorder="1"/>
    <xf numFmtId="0" fontId="1" fillId="10" borderId="3" xfId="0" applyFont="1" applyFill="1" applyBorder="1"/>
    <xf numFmtId="0" fontId="1" fillId="4" borderId="1" xfId="0" applyFont="1" applyFill="1" applyBorder="1"/>
    <xf numFmtId="0" fontId="1" fillId="4" borderId="2" xfId="0" applyFont="1" applyFill="1" applyBorder="1"/>
    <xf numFmtId="0" fontId="1" fillId="4" borderId="3" xfId="0" applyFont="1" applyFill="1" applyBorder="1"/>
    <xf numFmtId="0" fontId="1" fillId="3" borderId="1" xfId="0" applyFont="1" applyFill="1" applyBorder="1"/>
    <xf numFmtId="0" fontId="1" fillId="3" borderId="2" xfId="0" applyFont="1" applyFill="1" applyBorder="1"/>
    <xf numFmtId="0" fontId="1" fillId="3" borderId="3" xfId="0" applyFont="1" applyFill="1" applyBorder="1"/>
    <xf numFmtId="0" fontId="14" fillId="8" borderId="1" xfId="0" applyFont="1" applyFill="1" applyBorder="1" applyAlignment="1">
      <alignment horizontal="left" vertical="top" wrapText="1"/>
    </xf>
    <xf numFmtId="0" fontId="14" fillId="8" borderId="2" xfId="0" applyFont="1" applyFill="1" applyBorder="1" applyAlignment="1">
      <alignment horizontal="left" vertical="top" wrapText="1"/>
    </xf>
    <xf numFmtId="0" fontId="14" fillId="8" borderId="21" xfId="0" applyFont="1" applyFill="1" applyBorder="1" applyAlignment="1">
      <alignment horizontal="left" vertical="top" wrapText="1"/>
    </xf>
    <xf numFmtId="0" fontId="14" fillId="8" borderId="16" xfId="0" applyFont="1" applyFill="1" applyBorder="1" applyAlignment="1">
      <alignment horizontal="left" vertical="top" wrapText="1"/>
    </xf>
    <xf numFmtId="0" fontId="14" fillId="8" borderId="22" xfId="0" applyFont="1" applyFill="1" applyBorder="1" applyAlignment="1">
      <alignment horizontal="left" vertical="top" wrapText="1"/>
    </xf>
    <xf numFmtId="0" fontId="5" fillId="2" borderId="1" xfId="0" applyFont="1" applyFill="1" applyBorder="1" applyAlignment="1">
      <alignment horizontal="left"/>
    </xf>
    <xf numFmtId="0" fontId="3" fillId="2" borderId="2" xfId="0" applyFont="1" applyFill="1" applyBorder="1" applyAlignment="1">
      <alignment horizontal="left"/>
    </xf>
    <xf numFmtId="0" fontId="3" fillId="2" borderId="3" xfId="0" applyFont="1" applyFill="1" applyBorder="1" applyAlignment="1">
      <alignment horizontal="left"/>
    </xf>
    <xf numFmtId="0" fontId="3" fillId="2" borderId="4" xfId="0" applyFont="1" applyFill="1" applyBorder="1" applyAlignment="1">
      <alignment horizontal="left"/>
    </xf>
    <xf numFmtId="0" fontId="3" fillId="2" borderId="0" xfId="0" applyFont="1" applyFill="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7" xfId="0" applyFont="1" applyFill="1" applyBorder="1" applyAlignment="1">
      <alignment horizontal="left"/>
    </xf>
    <xf numFmtId="0" fontId="3" fillId="2" borderId="8" xfId="0" applyFont="1" applyFill="1" applyBorder="1" applyAlignment="1">
      <alignment horizontal="left"/>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 fillId="4" borderId="10" xfId="0" applyFont="1" applyFill="1" applyBorder="1" applyAlignment="1">
      <alignment horizontal="left"/>
    </xf>
    <xf numFmtId="0" fontId="1" fillId="4" borderId="11" xfId="0" applyFont="1" applyFill="1" applyBorder="1" applyAlignment="1">
      <alignment horizontal="left"/>
    </xf>
    <xf numFmtId="0" fontId="2" fillId="0" borderId="9" xfId="0" applyFont="1" applyBorder="1" applyAlignment="1">
      <alignment horizontal="center"/>
    </xf>
    <xf numFmtId="0" fontId="2" fillId="0" borderId="10" xfId="0" applyFont="1" applyBorder="1" applyAlignment="1">
      <alignment horizontal="center"/>
    </xf>
    <xf numFmtId="0" fontId="1" fillId="3" borderId="10" xfId="0" applyFont="1" applyFill="1" applyBorder="1" applyAlignment="1">
      <alignment horizontal="left"/>
    </xf>
    <xf numFmtId="0" fontId="1" fillId="3" borderId="11" xfId="0" applyFont="1" applyFill="1" applyBorder="1" applyAlignment="1">
      <alignment horizontal="left"/>
    </xf>
    <xf numFmtId="0" fontId="14" fillId="8" borderId="19" xfId="0" applyFont="1" applyFill="1" applyBorder="1" applyAlignment="1">
      <alignment horizontal="left" vertical="top" wrapText="1"/>
    </xf>
    <xf numFmtId="0" fontId="14" fillId="8" borderId="17" xfId="0" applyFont="1" applyFill="1" applyBorder="1" applyAlignment="1">
      <alignment horizontal="left" vertical="top" wrapText="1"/>
    </xf>
    <xf numFmtId="0" fontId="14" fillId="8" borderId="20" xfId="0" applyFont="1" applyFill="1" applyBorder="1" applyAlignment="1">
      <alignment horizontal="left" vertical="top" wrapText="1"/>
    </xf>
    <xf numFmtId="9" fontId="2" fillId="0" borderId="9" xfId="0" applyNumberFormat="1" applyFont="1" applyBorder="1" applyAlignment="1">
      <alignment horizontal="center"/>
    </xf>
    <xf numFmtId="9" fontId="2" fillId="0" borderId="10" xfId="0" applyNumberFormat="1" applyFont="1" applyBorder="1" applyAlignment="1">
      <alignment horizontal="center"/>
    </xf>
    <xf numFmtId="0" fontId="1" fillId="10" borderId="10" xfId="0" applyFont="1" applyFill="1" applyBorder="1" applyAlignment="1">
      <alignment horizontal="left"/>
    </xf>
    <xf numFmtId="0" fontId="1" fillId="10" borderId="11" xfId="0" applyFont="1" applyFill="1" applyBorder="1" applyAlignment="1">
      <alignment horizontal="left"/>
    </xf>
    <xf numFmtId="0" fontId="30" fillId="0" borderId="9" xfId="0" applyFont="1" applyBorder="1" applyAlignment="1">
      <alignment horizontal="center"/>
    </xf>
    <xf numFmtId="0" fontId="30" fillId="0" borderId="10" xfId="0" applyFont="1" applyBorder="1" applyAlignment="1">
      <alignment horizontal="center"/>
    </xf>
    <xf numFmtId="0" fontId="30" fillId="0" borderId="11" xfId="0" applyFont="1" applyBorder="1" applyAlignment="1">
      <alignment horizontal="center"/>
    </xf>
    <xf numFmtId="0" fontId="31" fillId="0" borderId="9" xfId="0" applyFont="1" applyBorder="1" applyAlignment="1">
      <alignment horizontal="center"/>
    </xf>
    <xf numFmtId="0" fontId="31" fillId="0" borderId="10" xfId="0" applyFont="1" applyBorder="1" applyAlignment="1">
      <alignment horizontal="center"/>
    </xf>
    <xf numFmtId="0" fontId="31"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5" xfId="0" applyFont="1" applyBorder="1" applyAlignment="1">
      <alignment horizontal="center"/>
    </xf>
    <xf numFmtId="0" fontId="7" fillId="5" borderId="0" xfId="0" applyFont="1" applyFill="1" applyAlignment="1">
      <alignment horizontal="left" vertical="center"/>
    </xf>
    <xf numFmtId="0" fontId="1" fillId="6" borderId="13"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15" xfId="0" applyFont="1" applyFill="1" applyBorder="1" applyAlignment="1">
      <alignment horizontal="center" vertical="center"/>
    </xf>
    <xf numFmtId="0" fontId="0" fillId="11" borderId="0" xfId="0" applyFill="1" applyAlignment="1">
      <alignment horizontal="center"/>
    </xf>
    <xf numFmtId="0" fontId="14" fillId="7" borderId="13" xfId="0" applyFont="1" applyFill="1" applyBorder="1" applyAlignment="1">
      <alignment horizontal="center"/>
    </xf>
    <xf numFmtId="0" fontId="14" fillId="7" borderId="15" xfId="0" applyFont="1" applyFill="1" applyBorder="1" applyAlignment="1">
      <alignment horizontal="center"/>
    </xf>
  </cellXfs>
  <cellStyles count="2">
    <cellStyle name="Normal" xfId="0" builtinId="0"/>
    <cellStyle name="Percent" xfId="1" builtinId="5"/>
  </cellStyles>
  <dxfs count="30">
    <dxf>
      <fill>
        <patternFill>
          <bgColor rgb="FF00FF00"/>
        </patternFill>
      </fill>
    </dxf>
    <dxf>
      <fill>
        <patternFill>
          <bgColor rgb="FFFFFF00"/>
        </patternFill>
      </fill>
    </dxf>
    <dxf>
      <fill>
        <patternFill>
          <bgColor rgb="FFFFC000"/>
        </patternFill>
      </fill>
    </dxf>
    <dxf>
      <fill>
        <patternFill>
          <bgColor rgb="FFFF0000"/>
        </patternFill>
      </fill>
    </dxf>
    <dxf>
      <fill>
        <patternFill>
          <bgColor rgb="FF00FF00"/>
        </patternFill>
      </fill>
    </dxf>
    <dxf>
      <fill>
        <patternFill>
          <bgColor rgb="FFFF0000"/>
        </patternFill>
      </fill>
    </dxf>
    <dxf>
      <fill>
        <patternFill>
          <bgColor rgb="FFFFC000"/>
        </patternFill>
      </fill>
    </dxf>
    <dxf>
      <fill>
        <patternFill>
          <bgColor rgb="FF0070C0"/>
        </patternFill>
      </fill>
    </dxf>
    <dxf>
      <fill>
        <patternFill>
          <bgColor rgb="FF00FF00"/>
        </patternFill>
      </fill>
    </dxf>
    <dxf>
      <fill>
        <patternFill>
          <bgColor rgb="FFFFC000"/>
        </patternFill>
      </fill>
    </dxf>
    <dxf>
      <fill>
        <patternFill>
          <bgColor rgb="FFFF0000"/>
        </patternFill>
      </fill>
    </dxf>
    <dxf>
      <fill>
        <patternFill>
          <bgColor rgb="FF0070C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FF00"/>
        </patternFill>
      </fill>
    </dxf>
    <dxf>
      <fill>
        <patternFill>
          <bgColor rgb="FFFFC000"/>
        </patternFill>
      </fill>
    </dxf>
    <dxf>
      <fill>
        <patternFill>
          <bgColor rgb="FFFF0000"/>
        </patternFill>
      </fill>
    </dxf>
    <dxf>
      <fill>
        <patternFill>
          <bgColor rgb="FF0070C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70C0"/>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colors>
    <mruColors>
      <color rgb="FF63EE2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428125</xdr:colOff>
      <xdr:row>0</xdr:row>
      <xdr:rowOff>125329</xdr:rowOff>
    </xdr:from>
    <xdr:to>
      <xdr:col>9</xdr:col>
      <xdr:colOff>711582</xdr:colOff>
      <xdr:row>7</xdr:row>
      <xdr:rowOff>208305</xdr:rowOff>
    </xdr:to>
    <xdr:pic>
      <xdr:nvPicPr>
        <xdr:cNvPr id="6" name="Picture 5">
          <a:extLst>
            <a:ext uri="{FF2B5EF4-FFF2-40B4-BE49-F238E27FC236}">
              <a16:creationId xmlns:a16="http://schemas.microsoft.com/office/drawing/2014/main" id="{811B7B1B-F8B8-C8BE-1C14-EF2A29163EB4}"/>
            </a:ext>
          </a:extLst>
        </xdr:cNvPr>
        <xdr:cNvPicPr>
          <a:picLocks noChangeAspect="1"/>
        </xdr:cNvPicPr>
      </xdr:nvPicPr>
      <xdr:blipFill rotWithShape="1">
        <a:blip xmlns:r="http://schemas.openxmlformats.org/officeDocument/2006/relationships" r:embed="rId1"/>
        <a:srcRect l="5213" t="3867" r="1419" b="1569"/>
        <a:stretch/>
      </xdr:blipFill>
      <xdr:spPr>
        <a:xfrm>
          <a:off x="8365625" y="125329"/>
          <a:ext cx="1649162" cy="1634457"/>
        </a:xfrm>
        <a:prstGeom prst="rect">
          <a:avLst/>
        </a:prstGeom>
      </xdr:spPr>
    </xdr:pic>
    <xdr:clientData/>
  </xdr:twoCellAnchor>
  <xdr:twoCellAnchor editAs="oneCell">
    <xdr:from>
      <xdr:col>11</xdr:col>
      <xdr:colOff>505402</xdr:colOff>
      <xdr:row>0</xdr:row>
      <xdr:rowOff>98425</xdr:rowOff>
    </xdr:from>
    <xdr:to>
      <xdr:col>12</xdr:col>
      <xdr:colOff>154923</xdr:colOff>
      <xdr:row>4</xdr:row>
      <xdr:rowOff>45606</xdr:rowOff>
    </xdr:to>
    <xdr:pic>
      <xdr:nvPicPr>
        <xdr:cNvPr id="2" name="Picture 1">
          <a:extLst>
            <a:ext uri="{FF2B5EF4-FFF2-40B4-BE49-F238E27FC236}">
              <a16:creationId xmlns:a16="http://schemas.microsoft.com/office/drawing/2014/main" id="{F2F6BC65-D469-DEF2-A888-26FF1E426518}"/>
            </a:ext>
          </a:extLst>
        </xdr:cNvPr>
        <xdr:cNvPicPr>
          <a:picLocks noChangeAspect="1"/>
        </xdr:cNvPicPr>
      </xdr:nvPicPr>
      <xdr:blipFill>
        <a:blip xmlns:r="http://schemas.openxmlformats.org/officeDocument/2006/relationships" r:embed="rId2"/>
        <a:stretch>
          <a:fillRect/>
        </a:stretch>
      </xdr:blipFill>
      <xdr:spPr>
        <a:xfrm>
          <a:off x="10402743" y="98425"/>
          <a:ext cx="1996134" cy="932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238123</xdr:colOff>
      <xdr:row>0</xdr:row>
      <xdr:rowOff>95250</xdr:rowOff>
    </xdr:from>
    <xdr:to>
      <xdr:col>4</xdr:col>
      <xdr:colOff>463550</xdr:colOff>
      <xdr:row>8</xdr:row>
      <xdr:rowOff>101794</xdr:rowOff>
    </xdr:to>
    <xdr:pic>
      <xdr:nvPicPr>
        <xdr:cNvPr id="2" name="Picture 1">
          <a:extLst>
            <a:ext uri="{FF2B5EF4-FFF2-40B4-BE49-F238E27FC236}">
              <a16:creationId xmlns:a16="http://schemas.microsoft.com/office/drawing/2014/main" id="{0E8A1213-6A5D-426F-968B-AEA616386432}"/>
            </a:ext>
          </a:extLst>
        </xdr:cNvPr>
        <xdr:cNvPicPr>
          <a:picLocks noChangeAspect="1"/>
        </xdr:cNvPicPr>
      </xdr:nvPicPr>
      <xdr:blipFill>
        <a:blip xmlns:r="http://schemas.openxmlformats.org/officeDocument/2006/relationships" r:embed="rId1"/>
        <a:stretch>
          <a:fillRect/>
        </a:stretch>
      </xdr:blipFill>
      <xdr:spPr>
        <a:xfrm>
          <a:off x="847723" y="95250"/>
          <a:ext cx="2057402" cy="19147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xdr:colOff>
      <xdr:row>62</xdr:row>
      <xdr:rowOff>44450</xdr:rowOff>
    </xdr:from>
    <xdr:to>
      <xdr:col>0</xdr:col>
      <xdr:colOff>158750</xdr:colOff>
      <xdr:row>62</xdr:row>
      <xdr:rowOff>152400</xdr:rowOff>
    </xdr:to>
    <xdr:sp macro="" textlink="">
      <xdr:nvSpPr>
        <xdr:cNvPr id="2" name="Oval 1">
          <a:extLst>
            <a:ext uri="{FF2B5EF4-FFF2-40B4-BE49-F238E27FC236}">
              <a16:creationId xmlns:a16="http://schemas.microsoft.com/office/drawing/2014/main" id="{90189952-BBB1-A9D2-5A9F-7BC51ABE99CB}"/>
            </a:ext>
          </a:extLst>
        </xdr:cNvPr>
        <xdr:cNvSpPr/>
      </xdr:nvSpPr>
      <xdr:spPr>
        <a:xfrm>
          <a:off x="63500" y="2578100"/>
          <a:ext cx="95250" cy="1079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66675</xdr:colOff>
      <xdr:row>63</xdr:row>
      <xdr:rowOff>47625</xdr:rowOff>
    </xdr:from>
    <xdr:to>
      <xdr:col>0</xdr:col>
      <xdr:colOff>161925</xdr:colOff>
      <xdr:row>63</xdr:row>
      <xdr:rowOff>152400</xdr:rowOff>
    </xdr:to>
    <xdr:sp macro="" textlink="">
      <xdr:nvSpPr>
        <xdr:cNvPr id="3" name="Oval 2">
          <a:extLst>
            <a:ext uri="{FF2B5EF4-FFF2-40B4-BE49-F238E27FC236}">
              <a16:creationId xmlns:a16="http://schemas.microsoft.com/office/drawing/2014/main" id="{EDBBB9D1-C300-40C0-8D79-4D00D15EA87D}"/>
            </a:ext>
          </a:extLst>
        </xdr:cNvPr>
        <xdr:cNvSpPr/>
      </xdr:nvSpPr>
      <xdr:spPr>
        <a:xfrm>
          <a:off x="66675" y="2762250"/>
          <a:ext cx="95250" cy="1047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66675</xdr:colOff>
      <xdr:row>64</xdr:row>
      <xdr:rowOff>47625</xdr:rowOff>
    </xdr:from>
    <xdr:to>
      <xdr:col>0</xdr:col>
      <xdr:colOff>161925</xdr:colOff>
      <xdr:row>64</xdr:row>
      <xdr:rowOff>152400</xdr:rowOff>
    </xdr:to>
    <xdr:sp macro="" textlink="">
      <xdr:nvSpPr>
        <xdr:cNvPr id="4" name="Oval 3">
          <a:extLst>
            <a:ext uri="{FF2B5EF4-FFF2-40B4-BE49-F238E27FC236}">
              <a16:creationId xmlns:a16="http://schemas.microsoft.com/office/drawing/2014/main" id="{1B8FF184-BB35-4A68-BE88-983BB215D68E}"/>
            </a:ext>
          </a:extLst>
        </xdr:cNvPr>
        <xdr:cNvSpPr/>
      </xdr:nvSpPr>
      <xdr:spPr>
        <a:xfrm>
          <a:off x="66675" y="2943225"/>
          <a:ext cx="95250" cy="1047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66675</xdr:colOff>
      <xdr:row>65</xdr:row>
      <xdr:rowOff>47625</xdr:rowOff>
    </xdr:from>
    <xdr:to>
      <xdr:col>0</xdr:col>
      <xdr:colOff>161925</xdr:colOff>
      <xdr:row>65</xdr:row>
      <xdr:rowOff>152400</xdr:rowOff>
    </xdr:to>
    <xdr:sp macro="" textlink="">
      <xdr:nvSpPr>
        <xdr:cNvPr id="5" name="Oval 4">
          <a:extLst>
            <a:ext uri="{FF2B5EF4-FFF2-40B4-BE49-F238E27FC236}">
              <a16:creationId xmlns:a16="http://schemas.microsoft.com/office/drawing/2014/main" id="{675CC541-1B08-40D3-B991-EBF763E1CE9F}"/>
            </a:ext>
          </a:extLst>
        </xdr:cNvPr>
        <xdr:cNvSpPr/>
      </xdr:nvSpPr>
      <xdr:spPr>
        <a:xfrm>
          <a:off x="66675" y="3124200"/>
          <a:ext cx="95250" cy="1047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43"/>
  <sheetViews>
    <sheetView showGridLines="0" topLeftCell="A2" zoomScale="87" zoomScaleNormal="90" workbookViewId="0">
      <selection activeCell="I34" sqref="I34"/>
    </sheetView>
  </sheetViews>
  <sheetFormatPr defaultColWidth="8.7265625" defaultRowHeight="14.5" zeroHeight="1" x14ac:dyDescent="0.35"/>
  <cols>
    <col min="1" max="2" width="8.7265625" customWidth="1"/>
    <col min="3" max="3" width="11.26953125" customWidth="1"/>
    <col min="4" max="8" width="8.7265625" customWidth="1"/>
    <col min="9" max="9" width="20.26953125" customWidth="1"/>
    <col min="10" max="12" width="8.7265625" customWidth="1"/>
    <col min="13" max="13" width="12.90625" customWidth="1"/>
    <col min="14" max="14" width="8.7265625" customWidth="1"/>
    <col min="15" max="15" width="9.7265625" customWidth="1"/>
    <col min="16" max="16" width="8.7265625" customWidth="1"/>
    <col min="17" max="17" width="10.7265625" customWidth="1"/>
    <col min="18" max="21" width="8.7265625" customWidth="1"/>
    <col min="16383" max="16383" width="2.54296875" customWidth="1"/>
    <col min="16384" max="16384" width="17.6328125" customWidth="1"/>
  </cols>
  <sheetData>
    <row r="1" spans="2:27" x14ac:dyDescent="0.35"/>
    <row r="2" spans="2:27" ht="17" customHeight="1" thickBot="1" x14ac:dyDescent="0.6">
      <c r="B2" s="9" t="s">
        <v>24</v>
      </c>
    </row>
    <row r="3" spans="2:27" ht="19" thickBot="1" x14ac:dyDescent="0.5">
      <c r="B3" s="71" t="s">
        <v>258</v>
      </c>
      <c r="C3" s="67"/>
      <c r="D3" s="67"/>
      <c r="E3" s="67"/>
      <c r="F3" s="68"/>
      <c r="H3" s="118" t="s">
        <v>260</v>
      </c>
      <c r="I3" s="119"/>
      <c r="J3" s="119"/>
      <c r="K3" s="120"/>
      <c r="M3" s="79" t="s">
        <v>264</v>
      </c>
      <c r="N3" s="80"/>
      <c r="O3" s="81"/>
    </row>
    <row r="4" spans="2:27" ht="19" thickBot="1" x14ac:dyDescent="0.5">
      <c r="B4" s="72" t="s">
        <v>259</v>
      </c>
      <c r="C4" s="66"/>
      <c r="D4" s="66"/>
      <c r="E4" s="66"/>
      <c r="F4" s="73"/>
      <c r="H4" s="121" t="str">
        <f>AA12</f>
        <v>Green</v>
      </c>
      <c r="I4" s="122"/>
      <c r="J4" s="122"/>
      <c r="K4" s="123"/>
      <c r="M4" s="82" t="s">
        <v>263</v>
      </c>
      <c r="N4" s="83"/>
      <c r="O4" s="84"/>
    </row>
    <row r="5" spans="2:27" ht="19" thickBot="1" x14ac:dyDescent="0.5">
      <c r="B5" s="69"/>
      <c r="H5" s="71" t="s">
        <v>261</v>
      </c>
      <c r="I5" s="70"/>
      <c r="J5" s="119">
        <f>AA10</f>
        <v>0</v>
      </c>
      <c r="K5" s="120"/>
      <c r="M5" s="85" t="s">
        <v>262</v>
      </c>
      <c r="N5" s="86"/>
      <c r="O5" s="87"/>
    </row>
    <row r="6" spans="2:27" ht="18.5" x14ac:dyDescent="0.45">
      <c r="B6" s="69"/>
      <c r="H6" s="76"/>
      <c r="I6" s="77"/>
      <c r="J6" s="78"/>
      <c r="K6" s="78"/>
    </row>
    <row r="7" spans="2:27" ht="15" thickBot="1" x14ac:dyDescent="0.4"/>
    <row r="8" spans="2:27" x14ac:dyDescent="0.35">
      <c r="B8" s="93" t="s">
        <v>0</v>
      </c>
      <c r="C8" s="94"/>
      <c r="D8" s="94"/>
      <c r="E8" s="95"/>
      <c r="G8" s="93" t="s">
        <v>1</v>
      </c>
      <c r="H8" s="94"/>
      <c r="I8" s="94"/>
      <c r="J8" s="95"/>
      <c r="L8" s="93" t="s">
        <v>2</v>
      </c>
      <c r="M8" s="94"/>
      <c r="N8" s="94"/>
      <c r="O8" s="95"/>
      <c r="Q8" s="93" t="s">
        <v>3</v>
      </c>
      <c r="R8" s="94"/>
      <c r="S8" s="94"/>
      <c r="T8" s="95"/>
    </row>
    <row r="9" spans="2:27" x14ac:dyDescent="0.35">
      <c r="B9" s="96"/>
      <c r="C9" s="97"/>
      <c r="D9" s="97"/>
      <c r="E9" s="98"/>
      <c r="G9" s="96"/>
      <c r="H9" s="97"/>
      <c r="I9" s="97"/>
      <c r="J9" s="98"/>
      <c r="L9" s="96"/>
      <c r="M9" s="97"/>
      <c r="N9" s="97"/>
      <c r="O9" s="98"/>
      <c r="Q9" s="96"/>
      <c r="R9" s="97"/>
      <c r="S9" s="97"/>
      <c r="T9" s="98"/>
    </row>
    <row r="10" spans="2:27" x14ac:dyDescent="0.35">
      <c r="B10" s="96"/>
      <c r="C10" s="97"/>
      <c r="D10" s="97"/>
      <c r="E10" s="98"/>
      <c r="G10" s="96"/>
      <c r="H10" s="97"/>
      <c r="I10" s="97"/>
      <c r="J10" s="98"/>
      <c r="L10" s="96"/>
      <c r="M10" s="97"/>
      <c r="N10" s="97"/>
      <c r="O10" s="98"/>
      <c r="Q10" s="96"/>
      <c r="R10" s="97"/>
      <c r="S10" s="97"/>
      <c r="T10" s="98"/>
      <c r="AA10" s="74">
        <f>SUM(N(B18)*10,N(B19)*5,N(B20)*1,N(L18)*12,N(L20)*6,N(L22)*2,N(Q18)*8,N(Q20)*4,N(Q22)*1,N(G18)*4,N(G20)*2,N(G22)*1)</f>
        <v>0</v>
      </c>
    </row>
    <row r="11" spans="2:27" x14ac:dyDescent="0.35">
      <c r="B11" s="96"/>
      <c r="C11" s="97"/>
      <c r="D11" s="97"/>
      <c r="E11" s="98"/>
      <c r="G11" s="96"/>
      <c r="H11" s="97"/>
      <c r="I11" s="97"/>
      <c r="J11" s="98"/>
      <c r="L11" s="96"/>
      <c r="M11" s="97"/>
      <c r="N11" s="97"/>
      <c r="O11" s="98"/>
      <c r="Q11" s="96"/>
      <c r="R11" s="97"/>
      <c r="S11" s="97"/>
      <c r="T11" s="98"/>
      <c r="AA11">
        <f>AA10/100</f>
        <v>0</v>
      </c>
    </row>
    <row r="12" spans="2:27" x14ac:dyDescent="0.35">
      <c r="B12" s="96"/>
      <c r="C12" s="97"/>
      <c r="D12" s="97"/>
      <c r="E12" s="98"/>
      <c r="G12" s="96"/>
      <c r="H12" s="97"/>
      <c r="I12" s="97"/>
      <c r="J12" s="98"/>
      <c r="L12" s="96"/>
      <c r="M12" s="97"/>
      <c r="N12" s="97"/>
      <c r="O12" s="98"/>
      <c r="Q12" s="96"/>
      <c r="R12" s="97"/>
      <c r="S12" s="97"/>
      <c r="T12" s="98"/>
      <c r="AA12" t="str">
        <f>IF(AA10&gt;60,"Red",IF(AA10&gt;30,"Amber","Green"))</f>
        <v>Green</v>
      </c>
    </row>
    <row r="13" spans="2:27" ht="15" thickBot="1" x14ac:dyDescent="0.4">
      <c r="B13" s="99"/>
      <c r="C13" s="100"/>
      <c r="D13" s="100"/>
      <c r="E13" s="101"/>
      <c r="G13" s="99"/>
      <c r="H13" s="100"/>
      <c r="I13" s="100"/>
      <c r="J13" s="101"/>
      <c r="L13" s="99"/>
      <c r="M13" s="100"/>
      <c r="N13" s="100"/>
      <c r="O13" s="101"/>
      <c r="Q13" s="99"/>
      <c r="R13" s="100"/>
      <c r="S13" s="100"/>
      <c r="T13" s="101"/>
    </row>
    <row r="14" spans="2:27" ht="15" thickBot="1" x14ac:dyDescent="0.4">
      <c r="B14" s="7"/>
      <c r="C14" s="7"/>
      <c r="D14" s="7"/>
      <c r="E14" s="7"/>
      <c r="G14" s="7"/>
      <c r="H14" s="7"/>
      <c r="I14" s="7"/>
      <c r="J14" s="7"/>
      <c r="L14" s="7"/>
      <c r="M14" s="7"/>
      <c r="N14" s="7"/>
      <c r="O14" s="7"/>
      <c r="Q14" s="7"/>
      <c r="R14" s="7"/>
      <c r="S14" s="7"/>
      <c r="T14" s="7"/>
    </row>
    <row r="15" spans="2:27" ht="24" customHeight="1" thickBot="1" x14ac:dyDescent="0.65">
      <c r="B15" s="102">
        <f>Risks!F7</f>
        <v>0</v>
      </c>
      <c r="C15" s="103"/>
      <c r="D15" s="103"/>
      <c r="E15" s="104"/>
      <c r="F15" s="21"/>
      <c r="G15" s="102">
        <f>Assumptions!H8</f>
        <v>0</v>
      </c>
      <c r="H15" s="103"/>
      <c r="I15" s="103"/>
      <c r="J15" s="104"/>
      <c r="K15" s="21"/>
      <c r="L15" s="102">
        <f>Issues!E8</f>
        <v>0</v>
      </c>
      <c r="M15" s="103"/>
      <c r="N15" s="103"/>
      <c r="O15" s="104"/>
      <c r="P15" s="21"/>
      <c r="Q15" s="102">
        <f>Dependencies!E8</f>
        <v>0</v>
      </c>
      <c r="R15" s="103"/>
      <c r="S15" s="103"/>
      <c r="T15" s="104"/>
    </row>
    <row r="16" spans="2:27" x14ac:dyDescent="0.35">
      <c r="B16" s="7"/>
      <c r="C16" s="7"/>
      <c r="D16" s="7"/>
      <c r="E16" s="7"/>
      <c r="G16" s="7"/>
      <c r="H16" s="7"/>
      <c r="I16" s="7"/>
      <c r="J16" s="7"/>
      <c r="L16" s="7"/>
      <c r="M16" s="7"/>
      <c r="N16" s="7"/>
      <c r="O16" s="7"/>
      <c r="Q16" s="7"/>
      <c r="R16" s="7"/>
      <c r="S16" s="7"/>
      <c r="T16" s="7"/>
    </row>
    <row r="17" spans="2:20" ht="15" thickBot="1" x14ac:dyDescent="0.4">
      <c r="B17" s="7"/>
      <c r="C17" s="7"/>
      <c r="D17" s="8" t="s">
        <v>16</v>
      </c>
      <c r="E17" s="7"/>
      <c r="G17" s="7"/>
      <c r="H17" s="7"/>
      <c r="I17" s="7"/>
      <c r="J17" s="7"/>
      <c r="L17" s="7"/>
      <c r="M17" s="7"/>
      <c r="N17" s="7"/>
      <c r="O17" s="7"/>
      <c r="Q17" s="7"/>
      <c r="R17" s="7"/>
      <c r="S17" s="7"/>
      <c r="T17" s="7"/>
    </row>
    <row r="18" spans="2:20" ht="15" thickBot="1" x14ac:dyDescent="0.4">
      <c r="B18" s="107" t="str">
        <f>IF(COUNTIFS(Risks!I:I,"High",Risks!J:J,"&lt;&gt;Closed")=0,"",COUNTIFS(Risks!I:I,"High",Risks!J:J,"&lt;&gt;Closed"))</f>
        <v/>
      </c>
      <c r="C18" s="108"/>
      <c r="D18" s="109" t="s">
        <v>4</v>
      </c>
      <c r="E18" s="110"/>
      <c r="G18" s="107" t="str">
        <f>IF(COUNTIFS(Assumptions!I:I,"High",Assumptions!J:J,"&lt;&gt;Closed")=0,"",COUNTIFS(Assumptions!I:I,"High",Assumptions!J:J,"&lt;&gt;Closed"))</f>
        <v/>
      </c>
      <c r="H18" s="108"/>
      <c r="I18" s="109" t="s">
        <v>4</v>
      </c>
      <c r="J18" s="110"/>
      <c r="L18" s="107" t="str">
        <f>IF(COUNTIFS(Issues!F:F,"High",Issues!G:G,"&lt;&gt;Closed")=0,"",COUNTIFS(Issues!F:F,"High",Issues!G:G,"&lt;&gt;Closed"))</f>
        <v/>
      </c>
      <c r="M18" s="108"/>
      <c r="N18" s="109" t="s">
        <v>4</v>
      </c>
      <c r="O18" s="110"/>
      <c r="Q18" s="107" t="str">
        <f>IF(COUNTIFS(Dependencies!F:F,"High",Dependencies!G:G,"&lt;&gt;Closed")=0,"",COUNTIFS(Dependencies!F:F,"High",Dependencies!G:G,"&lt;&gt;Closed"))</f>
        <v/>
      </c>
      <c r="R18" s="108"/>
      <c r="S18" s="109" t="s">
        <v>4</v>
      </c>
      <c r="T18" s="110"/>
    </row>
    <row r="19" spans="2:20" ht="15" thickBot="1" x14ac:dyDescent="0.4">
      <c r="B19" s="107" t="str">
        <f>IF(COUNTIFS(Risks!I:I,"Moderate",Risks!J:J,"&lt;&gt;Closed")=0,"",COUNTIFS(Risks!I:I,"Moderate",Risks!J:J,"&lt;&gt;Closed"))</f>
        <v/>
      </c>
      <c r="C19" s="108"/>
      <c r="D19" s="105" t="s">
        <v>5</v>
      </c>
      <c r="E19" s="106"/>
      <c r="G19" s="8"/>
      <c r="H19" s="8"/>
      <c r="I19" s="7"/>
      <c r="J19" s="7"/>
      <c r="L19" s="8"/>
      <c r="M19" s="8"/>
      <c r="N19" s="7"/>
      <c r="O19" s="7"/>
      <c r="Q19" s="8"/>
      <c r="R19" s="8"/>
      <c r="S19" s="7"/>
      <c r="T19" s="7"/>
    </row>
    <row r="20" spans="2:20" ht="15" thickBot="1" x14ac:dyDescent="0.4">
      <c r="B20" s="107" t="str">
        <f>IF(COUNTIFS(Risks!I:I,"Low",Risks!J:J,"&lt;&gt;Closed")=0,"",COUNTIFS(Risks!I:I,"Low",Risks!J:J,"&lt;&gt;Closed"))</f>
        <v/>
      </c>
      <c r="C20" s="108"/>
      <c r="D20" s="116" t="s">
        <v>6</v>
      </c>
      <c r="E20" s="117"/>
      <c r="G20" s="107" t="str">
        <f>IF(COUNTIFS(Assumptions!I:I,"Moderate",Assumptions!J:J,"&lt;&gt;Closed")=0,"",COUNTIFS(Assumptions!I:I,"Moderate",Assumptions!J:J,"&lt;&gt;Closed"))</f>
        <v/>
      </c>
      <c r="H20" s="108"/>
      <c r="I20" s="105" t="s">
        <v>5</v>
      </c>
      <c r="J20" s="106"/>
      <c r="L20" s="107" t="str">
        <f>IF(COUNTIFS(Issues!F:F,"Moderate",Issues!G:G,"&lt;&gt;Closed")=0,"",COUNTIFS(Issues!F:F,"Moderate",Issues!G:G,"&lt;&gt;Closed"))</f>
        <v/>
      </c>
      <c r="M20" s="108"/>
      <c r="N20" s="105" t="s">
        <v>5</v>
      </c>
      <c r="O20" s="106"/>
      <c r="Q20" s="107" t="str">
        <f>IF(COUNTIFS(Dependencies!F:F,"Moderate",Dependencies!G:G,"&lt;&gt;Closed")=0,"",COUNTIFS(Dependencies!F:F,"Moderate",Dependencies!G:G,"&lt;&gt;Closed"))</f>
        <v/>
      </c>
      <c r="R20" s="108"/>
      <c r="S20" s="105" t="s">
        <v>5</v>
      </c>
      <c r="T20" s="106"/>
    </row>
    <row r="21" spans="2:20" ht="15" thickBot="1" x14ac:dyDescent="0.4">
      <c r="B21" s="8"/>
      <c r="C21" s="8"/>
      <c r="D21" s="7"/>
      <c r="E21" s="7"/>
      <c r="G21" s="8"/>
      <c r="H21" s="8"/>
      <c r="I21" s="7"/>
      <c r="J21" s="7"/>
      <c r="L21" s="8"/>
      <c r="M21" s="8"/>
      <c r="N21" s="7"/>
      <c r="O21" s="7"/>
      <c r="Q21" s="8"/>
      <c r="R21" s="8"/>
      <c r="S21" s="7"/>
      <c r="T21" s="7"/>
    </row>
    <row r="22" spans="2:20" ht="15" thickBot="1" x14ac:dyDescent="0.4">
      <c r="B22" s="8"/>
      <c r="C22" s="8"/>
      <c r="D22" s="8" t="s">
        <v>19</v>
      </c>
      <c r="E22" s="7"/>
      <c r="G22" s="107" t="str">
        <f>IF(COUNTIFS(Assumptions!I:I,"Low",Assumptions!J:J,"&lt;&gt;Closed")=0,"",COUNTIFS(Assumptions!I:I,"Low",Assumptions!J:J,"&lt;&gt;Closed"))</f>
        <v/>
      </c>
      <c r="H22" s="108"/>
      <c r="I22" s="116" t="s">
        <v>6</v>
      </c>
      <c r="J22" s="117"/>
      <c r="L22" s="107" t="str">
        <f>IF(COUNTIFS(Issues!F:F,"Low",Issues!G:G,"&lt;&gt;Closed")=0,"",COUNTIFS(Issues!F:F,"Low",Issues!G:G,"&lt;&gt;Closed"))</f>
        <v/>
      </c>
      <c r="M22" s="108"/>
      <c r="N22" s="116" t="s">
        <v>6</v>
      </c>
      <c r="O22" s="117"/>
      <c r="Q22" s="107" t="str">
        <f>IF(COUNTIFS(Dependencies!F:F,"Low",Dependencies!G:G,"&lt;&gt;Closed")=0,"",COUNTIFS(Dependencies!F:F,"Low",Dependencies!G:G,"&lt;&gt;Closed"))</f>
        <v/>
      </c>
      <c r="R22" s="108"/>
      <c r="S22" s="116" t="s">
        <v>6</v>
      </c>
      <c r="T22" s="117"/>
    </row>
    <row r="23" spans="2:20" ht="15" thickBot="1" x14ac:dyDescent="0.4">
      <c r="B23" s="107" t="str">
        <f>IF(COUNTIFS(Risks!N:N,"Deteriorating",Risks!J:J,"&lt;&gt;Closed")=0,"",COUNTIFS(Risks!N:N,"Deteriorating",Risks!J:J,"&lt;&gt;Closed"))</f>
        <v/>
      </c>
      <c r="C23" s="108"/>
      <c r="D23" s="109" t="s">
        <v>20</v>
      </c>
      <c r="E23" s="110"/>
      <c r="G23" s="8"/>
      <c r="H23" s="8"/>
      <c r="I23" s="7"/>
      <c r="J23" s="7"/>
      <c r="L23" s="8"/>
      <c r="M23" s="8"/>
      <c r="N23" s="7"/>
      <c r="O23" s="7"/>
      <c r="Q23" s="8"/>
      <c r="R23" s="8"/>
      <c r="S23" s="7"/>
      <c r="T23" s="7"/>
    </row>
    <row r="24" spans="2:20" ht="15" thickBot="1" x14ac:dyDescent="0.4">
      <c r="B24" s="107" t="str">
        <f>IF(COUNTIFS(Risks!N:N,"No Change",Risks!J:J,"&lt;&gt;Closed")=0,"",COUNTIFS(Risks!N:N,"No Change",Risks!J:J,"&lt;&gt;Closed"))</f>
        <v/>
      </c>
      <c r="C24" s="108"/>
      <c r="D24" s="105" t="s">
        <v>21</v>
      </c>
      <c r="E24" s="106"/>
      <c r="G24" s="8"/>
      <c r="H24" s="8"/>
      <c r="I24" s="7"/>
      <c r="J24" s="7"/>
      <c r="L24" s="8"/>
      <c r="M24" s="8"/>
      <c r="N24" s="7"/>
      <c r="O24" s="7"/>
      <c r="Q24" s="8"/>
      <c r="R24" s="8"/>
      <c r="S24" s="7"/>
      <c r="T24" s="7"/>
    </row>
    <row r="25" spans="2:20" ht="15" thickBot="1" x14ac:dyDescent="0.4">
      <c r="B25" s="107" t="str">
        <f>IF(COUNTIFS(Risks!N:N,"Improving",Risks!J:J,"&lt;&gt;Closed")=0,"",COUNTIFS(Risks!N:N,"Improving",Risks!J:J,"&lt;&gt;Closed"))</f>
        <v/>
      </c>
      <c r="C25" s="108"/>
      <c r="D25" s="116" t="s">
        <v>22</v>
      </c>
      <c r="E25" s="117"/>
      <c r="G25" s="8"/>
      <c r="H25" s="8"/>
      <c r="I25" s="7"/>
      <c r="J25" s="7"/>
      <c r="L25" s="8"/>
      <c r="M25" s="8"/>
      <c r="N25" s="7"/>
      <c r="O25" s="7"/>
      <c r="Q25" s="8"/>
      <c r="R25" s="8"/>
      <c r="S25" s="7"/>
      <c r="T25" s="7"/>
    </row>
    <row r="26" spans="2:20" ht="15" thickBot="1" x14ac:dyDescent="0.4">
      <c r="G26" s="6"/>
      <c r="H26" s="6"/>
      <c r="L26" s="6"/>
      <c r="M26" s="6"/>
      <c r="Q26" s="6"/>
      <c r="R26" s="6"/>
    </row>
    <row r="27" spans="2:20" ht="15" thickBot="1" x14ac:dyDescent="0.4">
      <c r="B27" s="114" t="str">
        <f>Risks!C8</f>
        <v/>
      </c>
      <c r="C27" s="108"/>
      <c r="D27" s="116" t="s">
        <v>23</v>
      </c>
      <c r="E27" s="117"/>
      <c r="G27" s="114" t="str">
        <f>Assumptions!C8</f>
        <v/>
      </c>
      <c r="H27" s="108"/>
      <c r="I27" s="116" t="s">
        <v>25</v>
      </c>
      <c r="J27" s="117"/>
      <c r="L27" s="114" t="str">
        <f>Issues!B8</f>
        <v/>
      </c>
      <c r="M27" s="115"/>
      <c r="N27" s="116" t="s">
        <v>26</v>
      </c>
      <c r="O27" s="117"/>
      <c r="Q27" s="114" t="str">
        <f>Dependencies!B8</f>
        <v/>
      </c>
      <c r="R27" s="108"/>
      <c r="S27" s="116" t="s">
        <v>27</v>
      </c>
      <c r="T27" s="117"/>
    </row>
    <row r="28" spans="2:20" x14ac:dyDescent="0.35"/>
    <row r="29" spans="2:20" x14ac:dyDescent="0.35"/>
    <row r="30" spans="2:20" ht="18" customHeight="1" x14ac:dyDescent="0.35">
      <c r="B30" s="111" t="s">
        <v>104</v>
      </c>
      <c r="C30" s="112"/>
      <c r="D30" s="112"/>
      <c r="E30" s="113"/>
      <c r="G30" s="111" t="s">
        <v>105</v>
      </c>
      <c r="H30" s="112"/>
      <c r="I30" s="112"/>
      <c r="J30" s="113"/>
      <c r="L30" s="111" t="s">
        <v>106</v>
      </c>
      <c r="M30" s="112"/>
      <c r="N30" s="112"/>
      <c r="O30" s="113"/>
      <c r="Q30" s="111" t="s">
        <v>134</v>
      </c>
      <c r="R30" s="112"/>
      <c r="S30" s="112"/>
      <c r="T30" s="113"/>
    </row>
    <row r="31" spans="2:20" ht="18.5" x14ac:dyDescent="0.35">
      <c r="B31" s="90"/>
      <c r="C31" s="91"/>
      <c r="D31" s="91"/>
      <c r="E31" s="92"/>
      <c r="G31" s="90" t="s">
        <v>265</v>
      </c>
      <c r="H31" s="91"/>
      <c r="I31" s="91"/>
      <c r="J31" s="92"/>
      <c r="L31" s="90"/>
      <c r="M31" s="91"/>
      <c r="N31" s="91"/>
      <c r="O31" s="92"/>
      <c r="Q31" s="90"/>
      <c r="R31" s="91"/>
      <c r="S31" s="91"/>
      <c r="T31" s="92"/>
    </row>
    <row r="32" spans="2:20" x14ac:dyDescent="0.35"/>
    <row r="33" spans="2:20" ht="15" thickBot="1" x14ac:dyDescent="0.4"/>
    <row r="34" spans="2:20" ht="18.5" x14ac:dyDescent="0.35">
      <c r="B34" s="88" t="s">
        <v>257</v>
      </c>
      <c r="C34" s="89"/>
      <c r="D34" s="89"/>
      <c r="E34" s="89"/>
      <c r="F34" s="58"/>
      <c r="G34" s="58"/>
      <c r="H34" s="58"/>
      <c r="I34" s="58"/>
      <c r="J34" s="58"/>
      <c r="K34" s="58"/>
      <c r="L34" s="58"/>
      <c r="M34" s="58"/>
      <c r="N34" s="58"/>
      <c r="O34" s="58"/>
      <c r="P34" s="58"/>
      <c r="Q34" s="58"/>
      <c r="R34" s="58"/>
      <c r="S34" s="58"/>
      <c r="T34" s="59"/>
    </row>
    <row r="35" spans="2:20" x14ac:dyDescent="0.35">
      <c r="B35" s="60"/>
      <c r="C35" s="61"/>
      <c r="D35" s="61"/>
      <c r="E35" s="61"/>
      <c r="F35" s="61"/>
      <c r="G35" s="61"/>
      <c r="H35" s="61"/>
      <c r="I35" s="61"/>
      <c r="J35" s="61"/>
      <c r="K35" s="61"/>
      <c r="L35" s="61"/>
      <c r="M35" s="61"/>
      <c r="N35" s="61"/>
      <c r="O35" s="61"/>
      <c r="P35" s="61"/>
      <c r="Q35" s="61"/>
      <c r="R35" s="61"/>
      <c r="S35" s="61"/>
      <c r="T35" s="62"/>
    </row>
    <row r="36" spans="2:20" x14ac:dyDescent="0.35">
      <c r="B36" s="60"/>
      <c r="C36" s="61"/>
      <c r="D36" s="61"/>
      <c r="E36" s="61"/>
      <c r="F36" s="61"/>
      <c r="G36" s="61"/>
      <c r="H36" s="61"/>
      <c r="I36" s="61"/>
      <c r="J36" s="61"/>
      <c r="K36" s="61"/>
      <c r="L36" s="61"/>
      <c r="M36" s="61"/>
      <c r="N36" s="61"/>
      <c r="O36" s="61"/>
      <c r="P36" s="61"/>
      <c r="Q36" s="61"/>
      <c r="R36" s="61"/>
      <c r="S36" s="61"/>
      <c r="T36" s="62"/>
    </row>
    <row r="37" spans="2:20" x14ac:dyDescent="0.35">
      <c r="B37" s="60"/>
      <c r="C37" s="61"/>
      <c r="D37" s="61"/>
      <c r="E37" s="61"/>
      <c r="F37" s="61"/>
      <c r="G37" s="61"/>
      <c r="H37" s="61"/>
      <c r="I37" s="61"/>
      <c r="J37" s="61"/>
      <c r="K37" s="61"/>
      <c r="L37" s="61"/>
      <c r="M37" s="61"/>
      <c r="N37" s="61"/>
      <c r="O37" s="61"/>
      <c r="P37" s="61"/>
      <c r="Q37" s="61"/>
      <c r="R37" s="61"/>
      <c r="S37" s="61"/>
      <c r="T37" s="62"/>
    </row>
    <row r="38" spans="2:20" x14ac:dyDescent="0.35">
      <c r="B38" s="60"/>
      <c r="C38" s="61"/>
      <c r="D38" s="61"/>
      <c r="E38" s="61"/>
      <c r="F38" s="61"/>
      <c r="G38" s="61"/>
      <c r="H38" s="61"/>
      <c r="I38" s="61"/>
      <c r="J38" s="61"/>
      <c r="K38" s="61"/>
      <c r="L38" s="61"/>
      <c r="M38" s="61"/>
      <c r="N38" s="61"/>
      <c r="O38" s="61"/>
      <c r="P38" s="61"/>
      <c r="Q38" s="61"/>
      <c r="R38" s="61"/>
      <c r="S38" s="61"/>
      <c r="T38" s="62"/>
    </row>
    <row r="39" spans="2:20" x14ac:dyDescent="0.35">
      <c r="B39" s="60"/>
      <c r="C39" s="61"/>
      <c r="D39" s="61"/>
      <c r="E39" s="61"/>
      <c r="F39" s="61"/>
      <c r="G39" s="61"/>
      <c r="H39" s="61"/>
      <c r="I39" s="61"/>
      <c r="J39" s="61"/>
      <c r="K39" s="61"/>
      <c r="L39" s="61"/>
      <c r="M39" s="61"/>
      <c r="N39" s="61"/>
      <c r="O39" s="61"/>
      <c r="P39" s="61"/>
      <c r="Q39" s="61"/>
      <c r="R39" s="61"/>
      <c r="S39" s="61"/>
      <c r="T39" s="62"/>
    </row>
    <row r="40" spans="2:20" x14ac:dyDescent="0.35">
      <c r="B40" s="60"/>
      <c r="C40" s="61"/>
      <c r="D40" s="61"/>
      <c r="E40" s="61"/>
      <c r="F40" s="61"/>
      <c r="G40" s="61"/>
      <c r="H40" s="61"/>
      <c r="I40" s="61"/>
      <c r="J40" s="61"/>
      <c r="K40" s="61"/>
      <c r="L40" s="61"/>
      <c r="M40" s="61"/>
      <c r="N40" s="61"/>
      <c r="O40" s="61"/>
      <c r="P40" s="61"/>
      <c r="Q40" s="61"/>
      <c r="R40" s="61"/>
      <c r="S40" s="61"/>
      <c r="T40" s="62"/>
    </row>
    <row r="41" spans="2:20" x14ac:dyDescent="0.35">
      <c r="B41" s="60"/>
      <c r="C41" s="61"/>
      <c r="D41" s="61"/>
      <c r="E41" s="61"/>
      <c r="F41" s="61"/>
      <c r="G41" s="61"/>
      <c r="H41" s="61"/>
      <c r="I41" s="61"/>
      <c r="J41" s="61"/>
      <c r="K41" s="61"/>
      <c r="L41" s="61"/>
      <c r="M41" s="61"/>
      <c r="N41" s="61"/>
      <c r="O41" s="61"/>
      <c r="P41" s="61"/>
      <c r="Q41" s="61"/>
      <c r="R41" s="61"/>
      <c r="S41" s="61"/>
      <c r="T41" s="62"/>
    </row>
    <row r="42" spans="2:20" ht="15" thickBot="1" x14ac:dyDescent="0.4">
      <c r="B42" s="63"/>
      <c r="C42" s="64"/>
      <c r="D42" s="64"/>
      <c r="E42" s="64"/>
      <c r="F42" s="64"/>
      <c r="G42" s="64"/>
      <c r="H42" s="64"/>
      <c r="I42" s="64"/>
      <c r="J42" s="64"/>
      <c r="K42" s="64"/>
      <c r="L42" s="64"/>
      <c r="M42" s="64"/>
      <c r="N42" s="64"/>
      <c r="O42" s="64"/>
      <c r="P42" s="64"/>
      <c r="Q42" s="64"/>
      <c r="R42" s="64"/>
      <c r="S42" s="64"/>
      <c r="T42" s="65"/>
    </row>
    <row r="43" spans="2:20" x14ac:dyDescent="0.35"/>
  </sheetData>
  <mergeCells count="58">
    <mergeCell ref="I27:J27"/>
    <mergeCell ref="H3:K3"/>
    <mergeCell ref="H4:K4"/>
    <mergeCell ref="J5:K5"/>
    <mergeCell ref="B30:E30"/>
    <mergeCell ref="G30:J30"/>
    <mergeCell ref="G22:H22"/>
    <mergeCell ref="I22:J22"/>
    <mergeCell ref="B23:C23"/>
    <mergeCell ref="D23:E23"/>
    <mergeCell ref="B24:C24"/>
    <mergeCell ref="D24:E24"/>
    <mergeCell ref="D19:E19"/>
    <mergeCell ref="D20:E20"/>
    <mergeCell ref="G18:H18"/>
    <mergeCell ref="I18:J18"/>
    <mergeCell ref="B25:C25"/>
    <mergeCell ref="D25:E25"/>
    <mergeCell ref="B27:C27"/>
    <mergeCell ref="D27:E27"/>
    <mergeCell ref="G27:H27"/>
    <mergeCell ref="Q30:T30"/>
    <mergeCell ref="L27:M27"/>
    <mergeCell ref="N27:O27"/>
    <mergeCell ref="S22:T22"/>
    <mergeCell ref="Q27:R27"/>
    <mergeCell ref="S27:T27"/>
    <mergeCell ref="L22:M22"/>
    <mergeCell ref="N22:O22"/>
    <mergeCell ref="Q22:R22"/>
    <mergeCell ref="L30:O30"/>
    <mergeCell ref="S18:T18"/>
    <mergeCell ref="Q20:R20"/>
    <mergeCell ref="S20:T20"/>
    <mergeCell ref="L18:M18"/>
    <mergeCell ref="N18:O18"/>
    <mergeCell ref="L20:M20"/>
    <mergeCell ref="N20:O20"/>
    <mergeCell ref="Q18:R18"/>
    <mergeCell ref="I20:J20"/>
    <mergeCell ref="B18:C18"/>
    <mergeCell ref="D18:E18"/>
    <mergeCell ref="B19:C19"/>
    <mergeCell ref="B20:C20"/>
    <mergeCell ref="G20:H20"/>
    <mergeCell ref="B8:E13"/>
    <mergeCell ref="G8:J13"/>
    <mergeCell ref="L8:O13"/>
    <mergeCell ref="Q8:T13"/>
    <mergeCell ref="B15:E15"/>
    <mergeCell ref="G15:J15"/>
    <mergeCell ref="L15:O15"/>
    <mergeCell ref="Q15:T15"/>
    <mergeCell ref="B34:E34"/>
    <mergeCell ref="B31:E31"/>
    <mergeCell ref="G31:J31"/>
    <mergeCell ref="L31:O31"/>
    <mergeCell ref="Q31:T31"/>
  </mergeCells>
  <conditionalFormatting sqref="H4:K4">
    <cfRule type="containsText" dxfId="29" priority="1" operator="containsText" text="Red">
      <formula>NOT(ISERROR(SEARCH("Red",H4)))</formula>
    </cfRule>
    <cfRule type="containsText" dxfId="28" priority="2" operator="containsText" text="Amber">
      <formula>NOT(ISERROR(SEARCH("Amber",H4)))</formula>
    </cfRule>
    <cfRule type="containsText" dxfId="27" priority="3" operator="containsText" text="Green">
      <formula>NOT(ISERROR(SEARCH("Green",H4)))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8"/>
  <sheetViews>
    <sheetView showGridLines="0" topLeftCell="E1" zoomScaleNormal="100" workbookViewId="0">
      <pane ySplit="11" topLeftCell="A23" activePane="bottomLeft" state="frozen"/>
      <selection pane="bottomLeft" activeCell="K23" sqref="K23"/>
    </sheetView>
  </sheetViews>
  <sheetFormatPr defaultColWidth="8.7265625" defaultRowHeight="14.5" x14ac:dyDescent="0.35"/>
  <cols>
    <col min="1" max="1" width="7.36328125" customWidth="1"/>
    <col min="2" max="2" width="30.36328125" customWidth="1"/>
    <col min="3" max="3" width="34.81640625" customWidth="1"/>
    <col min="4" max="4" width="28.26953125" customWidth="1"/>
    <col min="5" max="5" width="14" customWidth="1"/>
    <col min="6" max="6" width="8.7265625" customWidth="1"/>
    <col min="7" max="7" width="9" customWidth="1"/>
    <col min="8" max="8" width="8.7265625" customWidth="1"/>
    <col min="9" max="9" width="10.81640625" customWidth="1"/>
    <col min="10" max="10" width="13.26953125" style="14" customWidth="1"/>
    <col min="11" max="11" width="14.36328125" style="14" customWidth="1"/>
    <col min="12" max="12" width="33.54296875" customWidth="1"/>
    <col min="13" max="13" width="14.7265625" customWidth="1"/>
    <col min="14" max="14" width="16.1796875" customWidth="1"/>
    <col min="15" max="15" width="13.6328125" customWidth="1"/>
    <col min="16" max="16" width="11.7265625" customWidth="1"/>
    <col min="17" max="17" width="16.453125" customWidth="1"/>
    <col min="18" max="18" width="15.7265625" customWidth="1"/>
  </cols>
  <sheetData>
    <row r="1" spans="1:16" ht="34" customHeight="1" x14ac:dyDescent="0.35">
      <c r="A1" s="127" t="s">
        <v>7</v>
      </c>
      <c r="B1" s="127"/>
      <c r="C1" s="127"/>
      <c r="D1" s="127"/>
      <c r="E1" s="127"/>
      <c r="F1" s="127"/>
      <c r="G1" s="127"/>
    </row>
    <row r="2" spans="1:16" x14ac:dyDescent="0.35">
      <c r="A2" s="131" t="s">
        <v>256</v>
      </c>
      <c r="B2" s="131"/>
      <c r="C2" s="131"/>
      <c r="D2" s="131"/>
      <c r="E2" s="131"/>
      <c r="F2" s="131"/>
      <c r="G2" s="131"/>
      <c r="N2" s="125" t="s">
        <v>33</v>
      </c>
      <c r="O2" s="126"/>
    </row>
    <row r="3" spans="1:16" x14ac:dyDescent="0.35">
      <c r="A3" t="s">
        <v>8</v>
      </c>
      <c r="E3" s="124" t="s">
        <v>29</v>
      </c>
      <c r="F3" s="124"/>
      <c r="N3" s="20" t="s">
        <v>7</v>
      </c>
      <c r="O3" s="3" t="str">
        <f>IF(F7=0, "", F7)</f>
        <v/>
      </c>
    </row>
    <row r="4" spans="1:16" x14ac:dyDescent="0.35">
      <c r="E4" s="44" t="s">
        <v>4</v>
      </c>
      <c r="F4" s="2" t="str" cm="1">
        <f t="array" ref="F4">IF(SUM(IF((I:I="High")*(J:J&lt;&gt;"closed"),1,0))=0,"",SUM(IF((I:I="High")*(J:J&lt;&gt;"closed"),1,0)))</f>
        <v/>
      </c>
      <c r="N4" s="20" t="s">
        <v>34</v>
      </c>
      <c r="O4" s="3" t="str">
        <f>IF(Assumptions!L6=0,"",Assumptions!L6)</f>
        <v/>
      </c>
    </row>
    <row r="5" spans="1:16" x14ac:dyDescent="0.35">
      <c r="E5" s="45" t="s">
        <v>5</v>
      </c>
      <c r="F5" s="2" t="str" cm="1">
        <f t="array" ref="F5">IF(SUM(IF((I:I="Moderate")*(J:J&lt;&gt;"closed"),1,0))=0,"",SUM(IF((I:I="Moderate")*(J:J&lt;&gt;"closed"),1,0)))</f>
        <v/>
      </c>
      <c r="N5" s="20" t="s">
        <v>35</v>
      </c>
      <c r="O5" s="3" t="str">
        <f>IF(Issues!E8=0,"",Issues!E8)</f>
        <v/>
      </c>
    </row>
    <row r="6" spans="1:16" ht="15" thickBot="1" x14ac:dyDescent="0.4">
      <c r="E6" s="46" t="s">
        <v>6</v>
      </c>
      <c r="F6" s="2" t="str" cm="1">
        <f t="array" ref="F6">IF(SUM(IF((I:I="Low")*(J:J&lt;&gt;"closed"),1,0))=0,"",SUM(IF((I:I="Low")*(J:J&lt;&gt;"closed"),1,0)))</f>
        <v/>
      </c>
      <c r="N6" s="20" t="s">
        <v>36</v>
      </c>
      <c r="O6" s="3" t="str">
        <f>IF(Dependencies!E8=0,"",Dependencies!E8)</f>
        <v/>
      </c>
    </row>
    <row r="7" spans="1:16" ht="15" thickBot="1" x14ac:dyDescent="0.4">
      <c r="C7" s="34" t="s">
        <v>23</v>
      </c>
      <c r="E7" s="19" t="s">
        <v>30</v>
      </c>
      <c r="F7" s="19">
        <f>SUM(F4:F6)</f>
        <v>0</v>
      </c>
    </row>
    <row r="8" spans="1:16" ht="19" thickBot="1" x14ac:dyDescent="0.5">
      <c r="C8" s="35" t="str" cm="1">
        <f t="array" ref="C8">IF((SUMPRODUCT((K:K="Yes")*(J:J&lt;&gt;"closed")) + SUMPRODUCT((K:K="No")*(J:J&lt;&gt;"closed"))) = 0, "", SUMPRODUCT((K:K="Yes")*(J:J&lt;&gt;"closed")) / (SUMPRODUCT((K:K="Yes")*(J:J&lt;&gt;"closed")) + SUMPRODUCT((K:K="No")*(J:J&lt;&gt;"closed"))))</f>
        <v/>
      </c>
    </row>
    <row r="10" spans="1:16" s="14" customFormat="1" ht="30" customHeight="1" x14ac:dyDescent="0.35">
      <c r="A10" s="13" t="s">
        <v>9</v>
      </c>
      <c r="B10" s="13" t="s">
        <v>10</v>
      </c>
      <c r="C10" s="13" t="s">
        <v>11</v>
      </c>
      <c r="D10" s="13" t="s">
        <v>13</v>
      </c>
      <c r="E10" s="18" t="s">
        <v>32</v>
      </c>
      <c r="F10" s="128" t="s">
        <v>12</v>
      </c>
      <c r="G10" s="129"/>
      <c r="H10" s="129"/>
      <c r="I10" s="130"/>
      <c r="J10" s="17" t="s">
        <v>17</v>
      </c>
      <c r="K10" s="23" t="s">
        <v>149</v>
      </c>
      <c r="L10" s="13" t="s">
        <v>45</v>
      </c>
      <c r="M10" s="13" t="s">
        <v>18</v>
      </c>
      <c r="N10" s="13" t="s">
        <v>19</v>
      </c>
      <c r="O10" s="13" t="s">
        <v>28</v>
      </c>
      <c r="P10" s="13" t="s">
        <v>37</v>
      </c>
    </row>
    <row r="11" spans="1:16" x14ac:dyDescent="0.35">
      <c r="A11" s="4"/>
      <c r="B11" s="4"/>
      <c r="C11" s="4"/>
      <c r="D11" s="4"/>
      <c r="E11" s="5" t="s">
        <v>123</v>
      </c>
      <c r="F11" s="5" t="s">
        <v>13</v>
      </c>
      <c r="G11" s="5" t="s">
        <v>14</v>
      </c>
      <c r="H11" s="5" t="s">
        <v>15</v>
      </c>
      <c r="I11" s="5" t="s">
        <v>16</v>
      </c>
      <c r="J11" s="13"/>
      <c r="K11" s="13"/>
      <c r="L11" s="4"/>
      <c r="M11" s="4"/>
      <c r="N11" s="4"/>
      <c r="O11" s="4"/>
      <c r="P11" s="4"/>
    </row>
    <row r="12" spans="1:16" s="12" customFormat="1" ht="33" customHeight="1" x14ac:dyDescent="0.35">
      <c r="A12" s="11" t="s">
        <v>47</v>
      </c>
      <c r="B12" s="47"/>
      <c r="C12" s="48" t="s">
        <v>31</v>
      </c>
      <c r="D12" s="48"/>
      <c r="E12" s="49"/>
      <c r="F12" s="50"/>
      <c r="G12" s="50"/>
      <c r="H12" s="43" t="str">
        <f>IF(OR(ISBLANK(F12), ISBLANK(G12)), "", F12*G12)</f>
        <v/>
      </c>
      <c r="I12" s="43" t="str">
        <f>IF(AND(H12&gt;=1,H12&lt;=4),"Low",
IF(AND(H12&gt;=5,H12&lt;=12),"Moderate",
IF(AND(H12&gt;=13,H12&lt;=25),"High","")))</f>
        <v/>
      </c>
      <c r="J12" s="56"/>
      <c r="K12" s="56"/>
      <c r="L12" s="51"/>
      <c r="M12" s="48"/>
      <c r="N12" s="52"/>
      <c r="O12" s="48"/>
      <c r="P12" s="48"/>
    </row>
    <row r="13" spans="1:16" s="12" customFormat="1" ht="33" customHeight="1" x14ac:dyDescent="0.35">
      <c r="A13" s="11" t="s">
        <v>48</v>
      </c>
      <c r="B13" s="47"/>
      <c r="C13" s="48" t="s">
        <v>31</v>
      </c>
      <c r="D13" s="48"/>
      <c r="E13" s="49"/>
      <c r="F13" s="50"/>
      <c r="G13" s="50"/>
      <c r="H13" s="75" t="str">
        <f t="shared" ref="H13:H28" si="0">IF(OR(ISBLANK(F13), ISBLANK(G13)), "", F13*G13)</f>
        <v/>
      </c>
      <c r="I13" s="75" t="str">
        <f t="shared" ref="I13:I28" si="1">IF(AND(H13&gt;=1,H13&lt;=4),"Low",
IF(AND(H13&gt;=5,H13&lt;=12),"Moderate",
IF(AND(H13&gt;=13,H13&lt;=25),"High","")))</f>
        <v/>
      </c>
      <c r="J13" s="56"/>
      <c r="K13" s="56"/>
      <c r="L13" s="51"/>
      <c r="M13" s="48"/>
      <c r="N13" s="52"/>
      <c r="O13" s="48"/>
      <c r="P13" s="48"/>
    </row>
    <row r="14" spans="1:16" s="12" customFormat="1" ht="33" customHeight="1" x14ac:dyDescent="0.35">
      <c r="A14" s="11" t="s">
        <v>49</v>
      </c>
      <c r="B14" s="47"/>
      <c r="C14" s="48" t="s">
        <v>31</v>
      </c>
      <c r="D14" s="48"/>
      <c r="E14" s="49"/>
      <c r="F14" s="50"/>
      <c r="G14" s="50"/>
      <c r="H14" s="75" t="str">
        <f t="shared" si="0"/>
        <v/>
      </c>
      <c r="I14" s="75" t="str">
        <f t="shared" si="1"/>
        <v/>
      </c>
      <c r="J14" s="56"/>
      <c r="K14" s="56"/>
      <c r="L14" s="51"/>
      <c r="M14" s="48"/>
      <c r="N14" s="52"/>
      <c r="O14" s="48"/>
      <c r="P14" s="48"/>
    </row>
    <row r="15" spans="1:16" s="12" customFormat="1" ht="33" customHeight="1" x14ac:dyDescent="0.35">
      <c r="A15" s="11" t="s">
        <v>50</v>
      </c>
      <c r="B15" s="47"/>
      <c r="C15" s="48" t="s">
        <v>31</v>
      </c>
      <c r="D15" s="48"/>
      <c r="E15" s="49"/>
      <c r="F15" s="50"/>
      <c r="G15" s="50"/>
      <c r="H15" s="75" t="str">
        <f t="shared" si="0"/>
        <v/>
      </c>
      <c r="I15" s="75" t="str">
        <f t="shared" si="1"/>
        <v/>
      </c>
      <c r="J15" s="56"/>
      <c r="K15" s="56"/>
      <c r="L15" s="51"/>
      <c r="M15" s="48"/>
      <c r="N15" s="52"/>
      <c r="O15" s="48"/>
      <c r="P15" s="48"/>
    </row>
    <row r="16" spans="1:16" s="12" customFormat="1" ht="33" customHeight="1" x14ac:dyDescent="0.35">
      <c r="A16" s="11" t="s">
        <v>51</v>
      </c>
      <c r="B16" s="47"/>
      <c r="C16" s="48" t="s">
        <v>31</v>
      </c>
      <c r="D16" s="48"/>
      <c r="E16" s="49"/>
      <c r="F16" s="50"/>
      <c r="G16" s="50"/>
      <c r="H16" s="75" t="str">
        <f t="shared" si="0"/>
        <v/>
      </c>
      <c r="I16" s="75" t="str">
        <f t="shared" si="1"/>
        <v/>
      </c>
      <c r="J16" s="56"/>
      <c r="K16" s="56"/>
      <c r="L16" s="51"/>
      <c r="M16" s="48"/>
      <c r="N16" s="52"/>
      <c r="O16" s="48"/>
      <c r="P16" s="48"/>
    </row>
    <row r="17" spans="1:16" s="12" customFormat="1" ht="33" customHeight="1" x14ac:dyDescent="0.35">
      <c r="A17" s="11" t="s">
        <v>52</v>
      </c>
      <c r="B17" s="47"/>
      <c r="C17" s="48" t="s">
        <v>31</v>
      </c>
      <c r="D17" s="48"/>
      <c r="E17" s="49"/>
      <c r="F17" s="50"/>
      <c r="G17" s="50"/>
      <c r="H17" s="75" t="str">
        <f t="shared" si="0"/>
        <v/>
      </c>
      <c r="I17" s="75" t="str">
        <f t="shared" si="1"/>
        <v/>
      </c>
      <c r="J17" s="56"/>
      <c r="K17" s="56"/>
      <c r="L17" s="51"/>
      <c r="M17" s="48"/>
      <c r="N17" s="52"/>
      <c r="O17" s="48"/>
      <c r="P17" s="48"/>
    </row>
    <row r="18" spans="1:16" s="12" customFormat="1" ht="33" customHeight="1" x14ac:dyDescent="0.35">
      <c r="A18" s="11" t="s">
        <v>53</v>
      </c>
      <c r="B18" s="47"/>
      <c r="C18" s="48" t="s">
        <v>31</v>
      </c>
      <c r="D18" s="48"/>
      <c r="E18" s="49"/>
      <c r="F18" s="50"/>
      <c r="G18" s="50"/>
      <c r="H18" s="75" t="str">
        <f t="shared" si="0"/>
        <v/>
      </c>
      <c r="I18" s="75" t="str">
        <f t="shared" si="1"/>
        <v/>
      </c>
      <c r="J18" s="50"/>
      <c r="K18" s="50"/>
      <c r="L18" s="51"/>
      <c r="M18" s="48"/>
      <c r="N18" s="52"/>
      <c r="O18" s="48"/>
      <c r="P18" s="48"/>
    </row>
    <row r="19" spans="1:16" s="12" customFormat="1" ht="33" customHeight="1" x14ac:dyDescent="0.35">
      <c r="A19" s="11" t="s">
        <v>54</v>
      </c>
      <c r="B19" s="47"/>
      <c r="C19" s="48" t="s">
        <v>31</v>
      </c>
      <c r="D19" s="48"/>
      <c r="E19" s="49"/>
      <c r="F19" s="50"/>
      <c r="G19" s="50"/>
      <c r="H19" s="75" t="str">
        <f t="shared" si="0"/>
        <v/>
      </c>
      <c r="I19" s="75" t="str">
        <f t="shared" si="1"/>
        <v/>
      </c>
      <c r="J19" s="50"/>
      <c r="K19" s="50"/>
      <c r="L19" s="51"/>
      <c r="M19" s="48"/>
      <c r="N19" s="52"/>
      <c r="O19" s="48"/>
      <c r="P19" s="48"/>
    </row>
    <row r="20" spans="1:16" s="12" customFormat="1" ht="33" customHeight="1" x14ac:dyDescent="0.35">
      <c r="A20" s="11" t="s">
        <v>55</v>
      </c>
      <c r="B20" s="47"/>
      <c r="C20" s="48" t="s">
        <v>31</v>
      </c>
      <c r="D20" s="48"/>
      <c r="E20" s="49"/>
      <c r="F20" s="50"/>
      <c r="G20" s="50"/>
      <c r="H20" s="75" t="str">
        <f t="shared" si="0"/>
        <v/>
      </c>
      <c r="I20" s="75" t="str">
        <f t="shared" si="1"/>
        <v/>
      </c>
      <c r="J20" s="50"/>
      <c r="K20" s="50"/>
      <c r="L20" s="51"/>
      <c r="M20" s="48"/>
      <c r="N20" s="52"/>
      <c r="O20" s="48"/>
      <c r="P20" s="48"/>
    </row>
    <row r="21" spans="1:16" s="12" customFormat="1" ht="33" customHeight="1" x14ac:dyDescent="0.35">
      <c r="A21" s="11" t="s">
        <v>56</v>
      </c>
      <c r="B21" s="47"/>
      <c r="C21" s="48" t="s">
        <v>31</v>
      </c>
      <c r="D21" s="48"/>
      <c r="E21" s="49"/>
      <c r="F21" s="50"/>
      <c r="G21" s="50"/>
      <c r="H21" s="75" t="str">
        <f t="shared" si="0"/>
        <v/>
      </c>
      <c r="I21" s="75" t="str">
        <f t="shared" si="1"/>
        <v/>
      </c>
      <c r="J21" s="50"/>
      <c r="K21" s="50"/>
      <c r="L21" s="51"/>
      <c r="M21" s="48"/>
      <c r="N21" s="52"/>
      <c r="O21" s="48"/>
      <c r="P21" s="48"/>
    </row>
    <row r="22" spans="1:16" s="12" customFormat="1" ht="33" customHeight="1" x14ac:dyDescent="0.35">
      <c r="A22" s="11" t="s">
        <v>57</v>
      </c>
      <c r="B22" s="47"/>
      <c r="C22" s="48" t="s">
        <v>31</v>
      </c>
      <c r="D22" s="48"/>
      <c r="E22" s="49"/>
      <c r="F22" s="50"/>
      <c r="G22" s="50"/>
      <c r="H22" s="75" t="str">
        <f t="shared" si="0"/>
        <v/>
      </c>
      <c r="I22" s="75" t="str">
        <f t="shared" si="1"/>
        <v/>
      </c>
      <c r="J22" s="50"/>
      <c r="K22" s="50"/>
      <c r="L22" s="51"/>
      <c r="M22" s="48"/>
      <c r="N22" s="52"/>
      <c r="O22" s="48"/>
      <c r="P22" s="48"/>
    </row>
    <row r="23" spans="1:16" s="12" customFormat="1" ht="33" customHeight="1" x14ac:dyDescent="0.35">
      <c r="A23" s="11" t="s">
        <v>58</v>
      </c>
      <c r="B23" s="47"/>
      <c r="C23" s="48" t="s">
        <v>31</v>
      </c>
      <c r="D23" s="48"/>
      <c r="E23" s="49"/>
      <c r="F23" s="50"/>
      <c r="G23" s="50"/>
      <c r="H23" s="75" t="str">
        <f t="shared" si="0"/>
        <v/>
      </c>
      <c r="I23" s="75" t="str">
        <f t="shared" si="1"/>
        <v/>
      </c>
      <c r="J23" s="50"/>
      <c r="K23" s="50"/>
      <c r="L23" s="51"/>
      <c r="M23" s="48"/>
      <c r="N23" s="52"/>
      <c r="O23" s="48"/>
      <c r="P23" s="48"/>
    </row>
    <row r="24" spans="1:16" s="12" customFormat="1" ht="33" customHeight="1" x14ac:dyDescent="0.35">
      <c r="A24" s="11" t="s">
        <v>59</v>
      </c>
      <c r="B24" s="47"/>
      <c r="C24" s="48" t="s">
        <v>31</v>
      </c>
      <c r="D24" s="48"/>
      <c r="E24" s="49"/>
      <c r="F24" s="50"/>
      <c r="G24" s="50"/>
      <c r="H24" s="75" t="str">
        <f t="shared" si="0"/>
        <v/>
      </c>
      <c r="I24" s="75" t="str">
        <f t="shared" si="1"/>
        <v/>
      </c>
      <c r="J24" s="50"/>
      <c r="K24" s="50"/>
      <c r="L24" s="51"/>
      <c r="M24" s="48"/>
      <c r="N24" s="52"/>
      <c r="O24" s="48"/>
      <c r="P24" s="48"/>
    </row>
    <row r="25" spans="1:16" s="12" customFormat="1" ht="33" customHeight="1" x14ac:dyDescent="0.35">
      <c r="A25" s="11" t="s">
        <v>60</v>
      </c>
      <c r="B25" s="47"/>
      <c r="C25" s="48" t="s">
        <v>31</v>
      </c>
      <c r="D25" s="48"/>
      <c r="E25" s="49"/>
      <c r="F25" s="50"/>
      <c r="G25" s="50"/>
      <c r="H25" s="75" t="str">
        <f t="shared" si="0"/>
        <v/>
      </c>
      <c r="I25" s="75" t="str">
        <f t="shared" si="1"/>
        <v/>
      </c>
      <c r="J25" s="50"/>
      <c r="K25" s="50"/>
      <c r="L25" s="51"/>
      <c r="M25" s="48"/>
      <c r="N25" s="52"/>
      <c r="O25" s="48"/>
      <c r="P25" s="48"/>
    </row>
    <row r="26" spans="1:16" s="12" customFormat="1" ht="33" customHeight="1" x14ac:dyDescent="0.35">
      <c r="A26" s="11" t="s">
        <v>61</v>
      </c>
      <c r="B26" s="47"/>
      <c r="C26" s="48" t="s">
        <v>31</v>
      </c>
      <c r="D26" s="48"/>
      <c r="E26" s="49"/>
      <c r="F26" s="50"/>
      <c r="G26" s="50"/>
      <c r="H26" s="75" t="str">
        <f t="shared" si="0"/>
        <v/>
      </c>
      <c r="I26" s="75" t="str">
        <f t="shared" si="1"/>
        <v/>
      </c>
      <c r="J26" s="50"/>
      <c r="K26" s="50"/>
      <c r="L26" s="51"/>
      <c r="M26" s="48"/>
      <c r="N26" s="52"/>
      <c r="O26" s="48"/>
      <c r="P26" s="48"/>
    </row>
    <row r="27" spans="1:16" s="12" customFormat="1" ht="33" customHeight="1" x14ac:dyDescent="0.35">
      <c r="A27" s="11" t="s">
        <v>62</v>
      </c>
      <c r="B27" s="47"/>
      <c r="C27" s="48" t="s">
        <v>31</v>
      </c>
      <c r="D27" s="48"/>
      <c r="E27" s="49"/>
      <c r="F27" s="50"/>
      <c r="G27" s="50"/>
      <c r="H27" s="75" t="str">
        <f t="shared" si="0"/>
        <v/>
      </c>
      <c r="I27" s="75" t="str">
        <f t="shared" si="1"/>
        <v/>
      </c>
      <c r="J27" s="50"/>
      <c r="K27" s="50"/>
      <c r="L27" s="51"/>
      <c r="M27" s="48"/>
      <c r="N27" s="52"/>
      <c r="O27" s="48"/>
      <c r="P27" s="48"/>
    </row>
    <row r="28" spans="1:16" s="12" customFormat="1" ht="33" customHeight="1" x14ac:dyDescent="0.35">
      <c r="A28" s="11" t="s">
        <v>63</v>
      </c>
      <c r="B28" s="47"/>
      <c r="C28" s="48" t="s">
        <v>31</v>
      </c>
      <c r="D28" s="48"/>
      <c r="E28" s="49"/>
      <c r="F28" s="50"/>
      <c r="G28" s="50"/>
      <c r="H28" s="75" t="str">
        <f t="shared" si="0"/>
        <v/>
      </c>
      <c r="I28" s="75" t="str">
        <f t="shared" si="1"/>
        <v/>
      </c>
      <c r="J28" s="50"/>
      <c r="K28" s="50"/>
      <c r="L28" s="51"/>
      <c r="M28" s="48"/>
      <c r="N28" s="52"/>
      <c r="O28" s="48"/>
      <c r="P28" s="48"/>
    </row>
  </sheetData>
  <mergeCells count="5">
    <mergeCell ref="E3:F3"/>
    <mergeCell ref="N2:O2"/>
    <mergeCell ref="A1:G1"/>
    <mergeCell ref="F10:I10"/>
    <mergeCell ref="A2:G2"/>
  </mergeCells>
  <phoneticPr fontId="8" type="noConversion"/>
  <conditionalFormatting sqref="A12:P28">
    <cfRule type="expression" dxfId="26" priority="2">
      <formula>$J12="Closed"</formula>
    </cfRule>
  </conditionalFormatting>
  <conditionalFormatting sqref="H12:H28">
    <cfRule type="cellIs" dxfId="25" priority="16" operator="between">
      <formula>13</formula>
      <formula>25</formula>
    </cfRule>
    <cfRule type="cellIs" dxfId="24" priority="18" operator="between">
      <formula>5</formula>
      <formula>12</formula>
    </cfRule>
    <cfRule type="cellIs" dxfId="23" priority="19" operator="between">
      <formula>1</formula>
      <formula>4</formula>
    </cfRule>
  </conditionalFormatting>
  <conditionalFormatting sqref="I12:I28">
    <cfRule type="containsText" dxfId="22" priority="6" operator="containsText" text="High">
      <formula>NOT(ISERROR(SEARCH("High",I12)))</formula>
    </cfRule>
    <cfRule type="containsText" dxfId="21" priority="7" operator="containsText" text="Moderate">
      <formula>NOT(ISERROR(SEARCH("Moderate",I12)))</formula>
    </cfRule>
    <cfRule type="containsText" dxfId="20" priority="15" operator="containsText" text="Low">
      <formula>NOT(ISERROR(SEARCH("Low",I12)))</formula>
    </cfRule>
  </conditionalFormatting>
  <dataValidations count="5">
    <dataValidation type="list" allowBlank="1" showInputMessage="1" showErrorMessage="1" sqref="F12:G28" xr:uid="{00000000-0002-0000-0100-000000000000}">
      <formula1>"1, 2, 3, 4, 5"</formula1>
    </dataValidation>
    <dataValidation type="whole" allowBlank="1" showInputMessage="1" showErrorMessage="1" sqref="H12:H28" xr:uid="{00000000-0002-0000-0100-000001000000}">
      <formula1>1</formula1>
      <formula2>5</formula2>
    </dataValidation>
    <dataValidation type="list" allowBlank="1" showInputMessage="1" showErrorMessage="1" sqref="K12:K28" xr:uid="{00000000-0002-0000-0100-000002000000}">
      <formula1>"Yes, No"</formula1>
    </dataValidation>
    <dataValidation type="list" allowBlank="1" showInputMessage="1" showErrorMessage="1" sqref="N12:N28" xr:uid="{00000000-0002-0000-0100-000003000000}">
      <formula1>"Improving, No Change, Deteriorating"</formula1>
    </dataValidation>
    <dataValidation type="list" allowBlank="1" showInputMessage="1" showErrorMessage="1" sqref="J12:J28" xr:uid="{E92E4D3E-739A-479C-8000-C09E06E4578B}">
      <formula1>"Open,Closed"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topLeftCell="B1" zoomScale="90" zoomScaleNormal="90" workbookViewId="0">
      <pane ySplit="12" topLeftCell="A13" activePane="bottomLeft" state="frozen"/>
      <selection pane="bottomLeft" activeCell="I13" sqref="I13:I29"/>
    </sheetView>
  </sheetViews>
  <sheetFormatPr defaultColWidth="8.7265625" defaultRowHeight="14.5" x14ac:dyDescent="0.35"/>
  <cols>
    <col min="1" max="1" width="6.54296875" customWidth="1"/>
    <col min="2" max="2" width="28.54296875" customWidth="1"/>
    <col min="3" max="3" width="34.81640625" customWidth="1"/>
    <col min="4" max="4" width="28.26953125" customWidth="1"/>
    <col min="5" max="5" width="14" customWidth="1"/>
    <col min="6" max="6" width="13.54296875" customWidth="1"/>
    <col min="7" max="7" width="10.54296875" customWidth="1"/>
    <col min="8" max="8" width="16" customWidth="1"/>
    <col min="9" max="9" width="11.90625" customWidth="1"/>
    <col min="10" max="10" width="8.7265625" customWidth="1"/>
    <col min="11" max="11" width="37.26953125" customWidth="1"/>
    <col min="12" max="12" width="14.7265625" customWidth="1"/>
    <col min="13" max="13" width="16.1796875" customWidth="1"/>
    <col min="14" max="14" width="29.08984375" customWidth="1"/>
    <col min="15" max="15" width="11.7265625" customWidth="1"/>
    <col min="16" max="16" width="16.453125" customWidth="1"/>
    <col min="17" max="17" width="15.7265625" customWidth="1"/>
  </cols>
  <sheetData>
    <row r="1" spans="1:14" ht="34" customHeight="1" x14ac:dyDescent="0.35">
      <c r="A1" s="127" t="s">
        <v>34</v>
      </c>
      <c r="B1" s="127"/>
      <c r="C1" s="127"/>
      <c r="D1" s="127"/>
      <c r="E1" s="127"/>
      <c r="F1" s="127"/>
      <c r="G1" s="127"/>
    </row>
    <row r="2" spans="1:14" x14ac:dyDescent="0.35">
      <c r="A2" s="131" t="s">
        <v>256</v>
      </c>
      <c r="B2" s="131"/>
      <c r="C2" s="131"/>
      <c r="D2" s="131"/>
      <c r="E2" s="131"/>
      <c r="F2" s="131"/>
      <c r="G2" s="131"/>
    </row>
    <row r="4" spans="1:14" x14ac:dyDescent="0.35">
      <c r="A4" t="s">
        <v>8</v>
      </c>
      <c r="G4" s="124" t="s">
        <v>38</v>
      </c>
      <c r="H4" s="124"/>
      <c r="K4" s="124" t="s">
        <v>33</v>
      </c>
      <c r="L4" s="124"/>
    </row>
    <row r="5" spans="1:14" x14ac:dyDescent="0.35">
      <c r="G5" s="16" t="s">
        <v>4</v>
      </c>
      <c r="H5" s="2" t="str" cm="1">
        <f t="array" ref="H5">IF(SUM(IF((I:I="High")*(J:J&lt;&gt;"closed"),1,0))=0,"",SUM(IF((I:I="High")*(J:J&lt;&gt;"closed"),1,0)))</f>
        <v/>
      </c>
      <c r="K5" s="20" t="s">
        <v>7</v>
      </c>
      <c r="L5" s="3" t="str">
        <f>IF(Risks!F7=0,"",Risks!F7)</f>
        <v/>
      </c>
    </row>
    <row r="6" spans="1:14" ht="15" thickBot="1" x14ac:dyDescent="0.4">
      <c r="G6" s="15" t="s">
        <v>5</v>
      </c>
      <c r="H6" s="2" t="str" cm="1">
        <f t="array" ref="H6">IF(SUM(IF((I:I="Moderate")*(J:J&lt;&gt;"closed"),1,0))=0,"",SUM(IF((I:I="Moderate")*(J:J&lt;&gt;"closed"),1,0)))</f>
        <v/>
      </c>
      <c r="K6" s="20" t="s">
        <v>34</v>
      </c>
      <c r="L6" s="3" t="str">
        <f>IF(H8=0, "", H8)</f>
        <v/>
      </c>
    </row>
    <row r="7" spans="1:14" ht="15" thickBot="1" x14ac:dyDescent="0.4">
      <c r="C7" s="34" t="s">
        <v>25</v>
      </c>
      <c r="G7" s="10" t="s">
        <v>6</v>
      </c>
      <c r="H7" s="2" t="str" cm="1">
        <f t="array" ref="H7">IF(SUM(IF((I:I="Low")*(J:J&lt;&gt;"closed"),1,0))=0,"",SUM(IF((I:I="Low")*(J:J&lt;&gt;"closed"),1,0)))</f>
        <v/>
      </c>
      <c r="K7" s="20" t="s">
        <v>35</v>
      </c>
      <c r="L7" s="3" t="str">
        <f>IF(Issues!E8=0,"",Issues!E8)</f>
        <v/>
      </c>
    </row>
    <row r="8" spans="1:14" ht="19" thickBot="1" x14ac:dyDescent="0.5">
      <c r="C8" s="35" t="str">
        <f>IF(COUNTA(J:J)=0, "", IFERROR(COUNTIFS(J:J, "upheld", J:J, "&lt;&gt;closed") / (COUNTIFS(J:J, "upheld", J:J, "&lt;&gt;closed") + COUNTIFS(J:J, "identified", J:J, "&lt;&gt;closed")), ""))</f>
        <v/>
      </c>
      <c r="G8" s="19" t="s">
        <v>30</v>
      </c>
      <c r="H8" s="19">
        <f>SUM(H5:H7)</f>
        <v>0</v>
      </c>
      <c r="K8" s="20" t="s">
        <v>36</v>
      </c>
      <c r="L8" s="3" t="str">
        <f>IF(Dependencies!E8=0,"",Dependencies!E8)</f>
        <v/>
      </c>
    </row>
    <row r="11" spans="1:14" s="14" customFormat="1" ht="30" customHeight="1" x14ac:dyDescent="0.35">
      <c r="A11" s="13" t="s">
        <v>9</v>
      </c>
      <c r="B11" s="13" t="s">
        <v>10</v>
      </c>
      <c r="C11" s="13" t="s">
        <v>11</v>
      </c>
      <c r="D11" s="13" t="s">
        <v>40</v>
      </c>
      <c r="E11" s="18" t="s">
        <v>32</v>
      </c>
      <c r="F11" s="17" t="s">
        <v>41</v>
      </c>
      <c r="G11" s="17" t="s">
        <v>42</v>
      </c>
      <c r="H11" s="17" t="s">
        <v>43</v>
      </c>
      <c r="I11" s="13" t="s">
        <v>44</v>
      </c>
      <c r="J11" s="13" t="s">
        <v>17</v>
      </c>
      <c r="K11" s="13" t="s">
        <v>45</v>
      </c>
      <c r="L11" s="13" t="s">
        <v>18</v>
      </c>
      <c r="M11" s="13" t="s">
        <v>28</v>
      </c>
      <c r="N11" s="13" t="s">
        <v>46</v>
      </c>
    </row>
    <row r="12" spans="1:14" x14ac:dyDescent="0.35">
      <c r="A12" s="4"/>
      <c r="B12" s="4"/>
      <c r="C12" s="4"/>
      <c r="D12" s="4"/>
      <c r="E12" s="4"/>
      <c r="F12" s="5"/>
      <c r="G12" s="5"/>
      <c r="H12" s="5"/>
      <c r="I12" s="5"/>
      <c r="J12" s="4"/>
      <c r="K12" s="4"/>
      <c r="L12" s="4"/>
      <c r="M12" s="4"/>
      <c r="N12" s="4"/>
    </row>
    <row r="13" spans="1:14" s="12" customFormat="1" ht="33" customHeight="1" x14ac:dyDescent="0.35">
      <c r="A13" s="11" t="s">
        <v>64</v>
      </c>
      <c r="B13" s="48"/>
      <c r="C13" s="47" t="s">
        <v>39</v>
      </c>
      <c r="D13" s="47"/>
      <c r="E13" s="48"/>
      <c r="F13" s="53"/>
      <c r="G13" s="48"/>
      <c r="H13" s="48"/>
      <c r="I13" s="52"/>
      <c r="J13" s="56"/>
      <c r="K13" s="47"/>
      <c r="L13" s="48"/>
      <c r="M13" s="48"/>
      <c r="N13" s="48"/>
    </row>
    <row r="14" spans="1:14" s="12" customFormat="1" ht="33" customHeight="1" x14ac:dyDescent="0.35">
      <c r="A14" s="11" t="s">
        <v>65</v>
      </c>
      <c r="B14" s="48"/>
      <c r="C14" s="47" t="s">
        <v>39</v>
      </c>
      <c r="D14" s="47"/>
      <c r="E14" s="48"/>
      <c r="F14" s="53"/>
      <c r="G14" s="48"/>
      <c r="H14" s="48"/>
      <c r="I14" s="52"/>
      <c r="J14" s="56"/>
      <c r="K14" s="47"/>
      <c r="L14" s="48"/>
      <c r="M14" s="48"/>
      <c r="N14" s="48"/>
    </row>
    <row r="15" spans="1:14" s="12" customFormat="1" ht="33" customHeight="1" x14ac:dyDescent="0.35">
      <c r="A15" s="11" t="s">
        <v>66</v>
      </c>
      <c r="B15" s="48"/>
      <c r="C15" s="47" t="s">
        <v>39</v>
      </c>
      <c r="D15" s="47"/>
      <c r="E15" s="48"/>
      <c r="F15" s="53"/>
      <c r="G15" s="48"/>
      <c r="H15" s="48"/>
      <c r="I15" s="52"/>
      <c r="J15" s="56"/>
      <c r="K15" s="47"/>
      <c r="L15" s="48"/>
      <c r="M15" s="48"/>
      <c r="N15" s="48"/>
    </row>
    <row r="16" spans="1:14" s="12" customFormat="1" ht="33" customHeight="1" x14ac:dyDescent="0.35">
      <c r="A16" s="11" t="s">
        <v>67</v>
      </c>
      <c r="B16" s="48"/>
      <c r="C16" s="47" t="s">
        <v>39</v>
      </c>
      <c r="D16" s="47"/>
      <c r="E16" s="48"/>
      <c r="F16" s="53"/>
      <c r="G16" s="48"/>
      <c r="H16" s="48"/>
      <c r="I16" s="52"/>
      <c r="J16" s="56"/>
      <c r="K16" s="47"/>
      <c r="L16" s="48"/>
      <c r="M16" s="48"/>
      <c r="N16" s="48"/>
    </row>
    <row r="17" spans="1:14" s="12" customFormat="1" ht="33" customHeight="1" x14ac:dyDescent="0.35">
      <c r="A17" s="11" t="s">
        <v>68</v>
      </c>
      <c r="B17" s="48"/>
      <c r="C17" s="47" t="s">
        <v>39</v>
      </c>
      <c r="D17" s="47"/>
      <c r="E17" s="48"/>
      <c r="F17" s="53"/>
      <c r="G17" s="48"/>
      <c r="H17" s="48"/>
      <c r="I17" s="55"/>
      <c r="J17" s="50"/>
      <c r="K17" s="47"/>
      <c r="L17" s="48"/>
      <c r="M17" s="48"/>
      <c r="N17" s="48"/>
    </row>
    <row r="18" spans="1:14" s="12" customFormat="1" ht="33" customHeight="1" x14ac:dyDescent="0.35">
      <c r="A18" s="11" t="s">
        <v>69</v>
      </c>
      <c r="B18" s="48"/>
      <c r="C18" s="47" t="s">
        <v>39</v>
      </c>
      <c r="D18" s="47"/>
      <c r="E18" s="48"/>
      <c r="F18" s="53"/>
      <c r="G18" s="48"/>
      <c r="H18" s="48"/>
      <c r="I18" s="55"/>
      <c r="J18" s="50"/>
      <c r="K18" s="47"/>
      <c r="L18" s="48"/>
      <c r="M18" s="48"/>
      <c r="N18" s="48"/>
    </row>
    <row r="19" spans="1:14" s="12" customFormat="1" ht="33" customHeight="1" x14ac:dyDescent="0.35">
      <c r="A19" s="11" t="s">
        <v>70</v>
      </c>
      <c r="B19" s="48"/>
      <c r="C19" s="47" t="s">
        <v>39</v>
      </c>
      <c r="D19" s="47"/>
      <c r="E19" s="48"/>
      <c r="F19" s="53"/>
      <c r="G19" s="48"/>
      <c r="H19" s="48"/>
      <c r="I19" s="55"/>
      <c r="J19" s="50"/>
      <c r="K19" s="47"/>
      <c r="L19" s="48"/>
      <c r="M19" s="48"/>
      <c r="N19" s="48"/>
    </row>
    <row r="20" spans="1:14" s="12" customFormat="1" ht="33" customHeight="1" x14ac:dyDescent="0.35">
      <c r="A20" s="11" t="s">
        <v>71</v>
      </c>
      <c r="B20" s="48"/>
      <c r="C20" s="47" t="s">
        <v>39</v>
      </c>
      <c r="D20" s="47"/>
      <c r="E20" s="48"/>
      <c r="F20" s="53"/>
      <c r="G20" s="48"/>
      <c r="H20" s="48"/>
      <c r="I20" s="55"/>
      <c r="J20" s="50"/>
      <c r="K20" s="47"/>
      <c r="L20" s="48"/>
      <c r="M20" s="48"/>
      <c r="N20" s="48"/>
    </row>
    <row r="21" spans="1:14" s="12" customFormat="1" ht="33" customHeight="1" x14ac:dyDescent="0.35">
      <c r="A21" s="11" t="s">
        <v>72</v>
      </c>
      <c r="B21" s="48"/>
      <c r="C21" s="47" t="s">
        <v>39</v>
      </c>
      <c r="D21" s="47"/>
      <c r="E21" s="48"/>
      <c r="F21" s="53"/>
      <c r="G21" s="48"/>
      <c r="H21" s="48"/>
      <c r="I21" s="55"/>
      <c r="J21" s="50"/>
      <c r="K21" s="47"/>
      <c r="L21" s="48"/>
      <c r="M21" s="48"/>
      <c r="N21" s="48"/>
    </row>
    <row r="22" spans="1:14" s="12" customFormat="1" ht="33" customHeight="1" x14ac:dyDescent="0.35">
      <c r="A22" s="11" t="s">
        <v>73</v>
      </c>
      <c r="B22" s="48"/>
      <c r="C22" s="47" t="s">
        <v>39</v>
      </c>
      <c r="D22" s="47"/>
      <c r="E22" s="48"/>
      <c r="F22" s="53"/>
      <c r="G22" s="48"/>
      <c r="H22" s="48"/>
      <c r="I22" s="55"/>
      <c r="J22" s="50"/>
      <c r="K22" s="47"/>
      <c r="L22" s="48"/>
      <c r="M22" s="48"/>
      <c r="N22" s="48"/>
    </row>
    <row r="23" spans="1:14" s="12" customFormat="1" ht="33" customHeight="1" x14ac:dyDescent="0.35">
      <c r="A23" s="11" t="s">
        <v>74</v>
      </c>
      <c r="B23" s="48"/>
      <c r="C23" s="47" t="s">
        <v>39</v>
      </c>
      <c r="D23" s="47"/>
      <c r="E23" s="48"/>
      <c r="F23" s="53"/>
      <c r="G23" s="48"/>
      <c r="H23" s="48"/>
      <c r="I23" s="55"/>
      <c r="J23" s="50"/>
      <c r="K23" s="47"/>
      <c r="L23" s="48"/>
      <c r="M23" s="48"/>
      <c r="N23" s="48"/>
    </row>
    <row r="24" spans="1:14" s="12" customFormat="1" ht="33" customHeight="1" x14ac:dyDescent="0.35">
      <c r="A24" s="11" t="s">
        <v>75</v>
      </c>
      <c r="B24" s="48"/>
      <c r="C24" s="47" t="s">
        <v>39</v>
      </c>
      <c r="D24" s="47"/>
      <c r="E24" s="48"/>
      <c r="F24" s="53"/>
      <c r="G24" s="48"/>
      <c r="H24" s="48"/>
      <c r="I24" s="55"/>
      <c r="J24" s="50"/>
      <c r="K24" s="47"/>
      <c r="L24" s="48"/>
      <c r="M24" s="48"/>
      <c r="N24" s="48"/>
    </row>
    <row r="25" spans="1:14" s="12" customFormat="1" ht="33" customHeight="1" x14ac:dyDescent="0.35">
      <c r="A25" s="11" t="s">
        <v>76</v>
      </c>
      <c r="B25" s="48"/>
      <c r="C25" s="47" t="s">
        <v>39</v>
      </c>
      <c r="D25" s="47"/>
      <c r="E25" s="48"/>
      <c r="F25" s="53"/>
      <c r="G25" s="48"/>
      <c r="H25" s="48"/>
      <c r="I25" s="55"/>
      <c r="J25" s="50"/>
      <c r="K25" s="47"/>
      <c r="L25" s="48"/>
      <c r="M25" s="48"/>
      <c r="N25" s="48"/>
    </row>
    <row r="26" spans="1:14" s="12" customFormat="1" ht="33" customHeight="1" x14ac:dyDescent="0.35">
      <c r="A26" s="11" t="s">
        <v>77</v>
      </c>
      <c r="B26" s="48"/>
      <c r="C26" s="47" t="s">
        <v>39</v>
      </c>
      <c r="D26" s="47"/>
      <c r="E26" s="48"/>
      <c r="F26" s="53"/>
      <c r="G26" s="48"/>
      <c r="H26" s="48"/>
      <c r="I26" s="55"/>
      <c r="J26" s="50"/>
      <c r="K26" s="47"/>
      <c r="L26" s="48"/>
      <c r="M26" s="48"/>
      <c r="N26" s="48"/>
    </row>
    <row r="27" spans="1:14" s="12" customFormat="1" ht="33" customHeight="1" x14ac:dyDescent="0.35">
      <c r="A27" s="11" t="s">
        <v>78</v>
      </c>
      <c r="B27" s="48"/>
      <c r="C27" s="47" t="s">
        <v>39</v>
      </c>
      <c r="D27" s="47"/>
      <c r="E27" s="48"/>
      <c r="F27" s="53"/>
      <c r="G27" s="48"/>
      <c r="H27" s="48"/>
      <c r="I27" s="55"/>
      <c r="J27" s="50"/>
      <c r="K27" s="47"/>
      <c r="L27" s="48"/>
      <c r="M27" s="48"/>
      <c r="N27" s="48"/>
    </row>
    <row r="28" spans="1:14" s="12" customFormat="1" ht="33" customHeight="1" x14ac:dyDescent="0.35">
      <c r="A28" s="11" t="s">
        <v>79</v>
      </c>
      <c r="B28" s="48"/>
      <c r="C28" s="47" t="s">
        <v>39</v>
      </c>
      <c r="D28" s="47"/>
      <c r="E28" s="48"/>
      <c r="F28" s="53"/>
      <c r="G28" s="48"/>
      <c r="H28" s="48"/>
      <c r="I28" s="55"/>
      <c r="J28" s="50"/>
      <c r="K28" s="47"/>
      <c r="L28" s="48"/>
      <c r="M28" s="48"/>
      <c r="N28" s="48"/>
    </row>
    <row r="29" spans="1:14" s="12" customFormat="1" ht="33" customHeight="1" x14ac:dyDescent="0.35">
      <c r="A29" s="11" t="s">
        <v>80</v>
      </c>
      <c r="B29" s="48"/>
      <c r="C29" s="47" t="s">
        <v>39</v>
      </c>
      <c r="D29" s="47"/>
      <c r="E29" s="48"/>
      <c r="F29" s="53"/>
      <c r="G29" s="48"/>
      <c r="H29" s="48"/>
      <c r="I29" s="55"/>
      <c r="J29" s="50"/>
      <c r="K29" s="47"/>
      <c r="L29" s="48"/>
      <c r="M29" s="48"/>
      <c r="N29" s="48"/>
    </row>
  </sheetData>
  <mergeCells count="4">
    <mergeCell ref="A1:G1"/>
    <mergeCell ref="G4:H4"/>
    <mergeCell ref="K4:L4"/>
    <mergeCell ref="A2:G2"/>
  </mergeCells>
  <phoneticPr fontId="8" type="noConversion"/>
  <conditionalFormatting sqref="A13:N29">
    <cfRule type="expression" dxfId="19" priority="1">
      <formula>$J13="Closed"</formula>
    </cfRule>
  </conditionalFormatting>
  <conditionalFormatting sqref="H13:I29">
    <cfRule type="cellIs" dxfId="18" priority="14" operator="between">
      <formula>15</formula>
      <formula>25</formula>
    </cfRule>
    <cfRule type="cellIs" dxfId="17" priority="15" operator="between">
      <formula>8</formula>
      <formula>12</formula>
    </cfRule>
    <cfRule type="cellIs" dxfId="16" priority="16" operator="between">
      <formula>4</formula>
      <formula>6</formula>
    </cfRule>
    <cfRule type="cellIs" dxfId="15" priority="17" operator="between">
      <formula>1</formula>
      <formula>3</formula>
    </cfRule>
  </conditionalFormatting>
  <conditionalFormatting sqref="I13:I29">
    <cfRule type="containsText" dxfId="14" priority="4" operator="containsText" text="High">
      <formula>NOT(ISERROR(SEARCH("High",I13)))</formula>
    </cfRule>
    <cfRule type="containsText" dxfId="13" priority="5" operator="containsText" text="Moderate">
      <formula>NOT(ISERROR(SEARCH("Moderate",I13)))</formula>
    </cfRule>
    <cfRule type="containsText" dxfId="12" priority="13" operator="containsText" text="Low">
      <formula>NOT(ISERROR(SEARCH("Low",I13)))</formula>
    </cfRule>
  </conditionalFormatting>
  <dataValidations count="3">
    <dataValidation type="list" allowBlank="1" showInputMessage="1" showErrorMessage="1" sqref="J13:J29" xr:uid="{00000000-0002-0000-0200-000000000000}">
      <formula1>"Upheld, Identified, Closed"</formula1>
    </dataValidation>
    <dataValidation type="list" allowBlank="1" showInputMessage="1" showErrorMessage="1" sqref="F13:F29" xr:uid="{00000000-0002-0000-0200-000001000000}">
      <formula1>"Assumption,Constraint"</formula1>
    </dataValidation>
    <dataValidation type="list" allowBlank="1" showInputMessage="1" showErrorMessage="1" sqref="I13:I29" xr:uid="{00000000-0002-0000-0200-000002000000}">
      <formula1>"Low, Moderate, High"</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showGridLines="0" topLeftCell="A7" zoomScale="110" zoomScaleNormal="110" workbookViewId="0">
      <selection activeCell="F13" sqref="F13:F16"/>
    </sheetView>
  </sheetViews>
  <sheetFormatPr defaultColWidth="8.7265625" defaultRowHeight="14.5" x14ac:dyDescent="0.35"/>
  <cols>
    <col min="1" max="1" width="6.54296875" customWidth="1"/>
    <col min="2" max="2" width="15" customWidth="1"/>
    <col min="3" max="3" width="34.81640625" customWidth="1"/>
    <col min="4" max="4" width="28.26953125" customWidth="1"/>
    <col min="5" max="5" width="14" customWidth="1"/>
    <col min="6" max="6" width="11.90625" customWidth="1"/>
    <col min="7" max="7" width="8.7265625" style="22" customWidth="1"/>
    <col min="8" max="8" width="42.36328125" customWidth="1"/>
    <col min="9" max="9" width="14.7265625" customWidth="1"/>
    <col min="10" max="10" width="16.1796875" customWidth="1"/>
    <col min="11" max="11" width="29.08984375" customWidth="1"/>
    <col min="12" max="12" width="11.7265625" customWidth="1"/>
    <col min="13" max="13" width="16.453125" customWidth="1"/>
    <col min="14" max="14" width="15.7265625" customWidth="1"/>
  </cols>
  <sheetData>
    <row r="1" spans="1:11" ht="34" customHeight="1" x14ac:dyDescent="0.35">
      <c r="A1" s="127" t="s">
        <v>35</v>
      </c>
      <c r="B1" s="127"/>
      <c r="C1" s="127"/>
      <c r="D1" s="127"/>
      <c r="E1" s="127"/>
      <c r="F1" s="127"/>
      <c r="G1" s="127"/>
    </row>
    <row r="2" spans="1:11" ht="15" customHeight="1" x14ac:dyDescent="0.35">
      <c r="A2" s="131" t="s">
        <v>256</v>
      </c>
      <c r="B2" s="131"/>
      <c r="C2" s="131"/>
      <c r="D2" s="131"/>
      <c r="E2" s="131"/>
      <c r="F2" s="131"/>
      <c r="G2" s="131"/>
    </row>
    <row r="4" spans="1:11" x14ac:dyDescent="0.35">
      <c r="A4" t="s">
        <v>8</v>
      </c>
      <c r="D4" s="124" t="s">
        <v>100</v>
      </c>
      <c r="E4" s="124"/>
      <c r="I4" s="40" t="s">
        <v>33</v>
      </c>
      <c r="J4" s="40"/>
    </row>
    <row r="5" spans="1:11" x14ac:dyDescent="0.35">
      <c r="D5" s="16" t="s">
        <v>4</v>
      </c>
      <c r="E5" s="2" t="str" cm="1">
        <f t="array" ref="E5">IF(SUM(IF((F:F="High")*(G:G&lt;&gt;"closed"),1,0))=0,"",SUM(IF((F:F="High")*(G:G&lt;&gt;"closed"),1,0)))</f>
        <v/>
      </c>
      <c r="I5" s="20" t="s">
        <v>7</v>
      </c>
      <c r="J5" s="3" t="str">
        <f>IF(Risks!F7=0,"",Risks!F7)</f>
        <v/>
      </c>
    </row>
    <row r="6" spans="1:11" ht="15" thickBot="1" x14ac:dyDescent="0.4">
      <c r="D6" s="15" t="s">
        <v>5</v>
      </c>
      <c r="E6" s="2" t="str" cm="1">
        <f t="array" ref="E6">IF(SUM(IF((F:F="Moderate")*(G:G&lt;&gt;"closed"),1,0))=0,"",SUM(IF((F:F="Moderate")*(G:G&lt;&gt;"closed"),1,0)))</f>
        <v/>
      </c>
      <c r="I6" s="20" t="s">
        <v>34</v>
      </c>
      <c r="J6" s="3" t="str">
        <f>IF(Assumptions!L6=0,"",Assumptions!L6)</f>
        <v/>
      </c>
    </row>
    <row r="7" spans="1:11" ht="15" thickBot="1" x14ac:dyDescent="0.4">
      <c r="B7" s="34" t="s">
        <v>26</v>
      </c>
      <c r="D7" s="10" t="s">
        <v>6</v>
      </c>
      <c r="E7" s="2" t="str" cm="1">
        <f t="array" ref="E7">IF(SUM(IF((F:F="Low")*(G:G&lt;&gt;"closed"),1,0))=0,"",SUM(IF((F:F="Low")*(G:G&lt;&gt;"closed"),1,0)))</f>
        <v/>
      </c>
      <c r="I7" s="20" t="s">
        <v>35</v>
      </c>
      <c r="J7" s="3" t="str">
        <f>IF(E8=0, "", E8)</f>
        <v/>
      </c>
    </row>
    <row r="8" spans="1:11" ht="19" thickBot="1" x14ac:dyDescent="0.5">
      <c r="B8" s="35" t="str">
        <f>IF(COUNTA(G:G)=0, "", IFERROR(COUNTIF(G:G, "closed") / (COUNTIF(G:G, "closed") + COUNTIF(G:G, "open")), ""))</f>
        <v/>
      </c>
      <c r="D8" s="19" t="s">
        <v>30</v>
      </c>
      <c r="E8" s="2">
        <f>SUM(E5:E7)</f>
        <v>0</v>
      </c>
      <c r="I8" s="20" t="s">
        <v>36</v>
      </c>
      <c r="J8" s="3" t="str">
        <f>IF(Dependencies!E8=0,"",Dependencies!E8)</f>
        <v/>
      </c>
    </row>
    <row r="11" spans="1:11" s="14" customFormat="1" ht="30" customHeight="1" x14ac:dyDescent="0.35">
      <c r="A11" s="13" t="s">
        <v>9</v>
      </c>
      <c r="B11" s="13" t="s">
        <v>10</v>
      </c>
      <c r="C11" s="13" t="s">
        <v>11</v>
      </c>
      <c r="D11" s="13" t="s">
        <v>98</v>
      </c>
      <c r="E11" s="18" t="s">
        <v>32</v>
      </c>
      <c r="F11" s="13" t="s">
        <v>99</v>
      </c>
      <c r="G11" s="23" t="s">
        <v>17</v>
      </c>
      <c r="H11" s="13" t="s">
        <v>45</v>
      </c>
      <c r="I11" s="13" t="s">
        <v>18</v>
      </c>
      <c r="J11" s="13" t="s">
        <v>28</v>
      </c>
      <c r="K11" s="18" t="s">
        <v>37</v>
      </c>
    </row>
    <row r="12" spans="1:11" x14ac:dyDescent="0.35">
      <c r="A12" s="4"/>
      <c r="B12" s="4"/>
      <c r="C12" s="4"/>
      <c r="D12" s="4"/>
      <c r="E12" s="4"/>
      <c r="F12" s="5"/>
      <c r="G12" s="23"/>
      <c r="H12" s="4"/>
      <c r="I12" s="4"/>
      <c r="J12" s="4"/>
      <c r="K12" s="4"/>
    </row>
    <row r="13" spans="1:11" s="12" customFormat="1" ht="33" customHeight="1" x14ac:dyDescent="0.35">
      <c r="A13" s="11" t="s">
        <v>81</v>
      </c>
      <c r="B13" s="48"/>
      <c r="C13" s="47"/>
      <c r="D13" s="47"/>
      <c r="E13" s="48"/>
      <c r="F13" s="54"/>
      <c r="G13" s="56"/>
      <c r="H13" s="47"/>
      <c r="I13" s="48"/>
      <c r="J13" s="48"/>
      <c r="K13" s="48"/>
    </row>
    <row r="14" spans="1:11" s="12" customFormat="1" ht="33" customHeight="1" x14ac:dyDescent="0.35">
      <c r="A14" s="11" t="s">
        <v>82</v>
      </c>
      <c r="B14" s="48"/>
      <c r="C14" s="47"/>
      <c r="D14" s="47"/>
      <c r="E14" s="48"/>
      <c r="F14" s="54"/>
      <c r="G14" s="56"/>
      <c r="H14" s="47"/>
      <c r="I14" s="48"/>
      <c r="J14" s="48"/>
      <c r="K14" s="48"/>
    </row>
    <row r="15" spans="1:11" s="12" customFormat="1" ht="33" customHeight="1" x14ac:dyDescent="0.35">
      <c r="A15" s="11" t="s">
        <v>83</v>
      </c>
      <c r="B15" s="48"/>
      <c r="C15" s="47"/>
      <c r="D15" s="47"/>
      <c r="E15" s="48"/>
      <c r="F15" s="54"/>
      <c r="G15" s="56"/>
      <c r="H15" s="47"/>
      <c r="I15" s="48"/>
      <c r="J15" s="48"/>
      <c r="K15" s="48"/>
    </row>
    <row r="16" spans="1:11" s="12" customFormat="1" ht="33" customHeight="1" x14ac:dyDescent="0.35">
      <c r="A16" s="11" t="s">
        <v>84</v>
      </c>
      <c r="B16" s="48"/>
      <c r="C16" s="47"/>
      <c r="D16" s="47"/>
      <c r="E16" s="48"/>
      <c r="F16" s="54"/>
      <c r="G16" s="56"/>
      <c r="H16" s="47"/>
      <c r="I16" s="48"/>
      <c r="J16" s="48"/>
      <c r="K16" s="48"/>
    </row>
    <row r="17" spans="1:11" s="12" customFormat="1" ht="33" customHeight="1" x14ac:dyDescent="0.35">
      <c r="A17" s="11" t="s">
        <v>85</v>
      </c>
      <c r="B17" s="48"/>
      <c r="C17" s="47"/>
      <c r="D17" s="47"/>
      <c r="E17" s="48"/>
      <c r="F17" s="54"/>
      <c r="G17" s="56"/>
      <c r="H17" s="47"/>
      <c r="I17" s="48"/>
      <c r="J17" s="48"/>
      <c r="K17" s="48"/>
    </row>
    <row r="18" spans="1:11" s="12" customFormat="1" ht="33" customHeight="1" x14ac:dyDescent="0.35">
      <c r="A18" s="11" t="s">
        <v>86</v>
      </c>
      <c r="B18" s="48"/>
      <c r="C18" s="47"/>
      <c r="D18" s="47"/>
      <c r="E18" s="48"/>
      <c r="F18" s="54"/>
      <c r="G18" s="56"/>
      <c r="H18" s="47"/>
      <c r="I18" s="48"/>
      <c r="J18" s="48"/>
      <c r="K18" s="48"/>
    </row>
    <row r="19" spans="1:11" s="12" customFormat="1" ht="33" customHeight="1" x14ac:dyDescent="0.35">
      <c r="A19" s="11" t="s">
        <v>87</v>
      </c>
      <c r="B19" s="48"/>
      <c r="C19" s="47"/>
      <c r="D19" s="47"/>
      <c r="E19" s="48"/>
      <c r="F19" s="54"/>
      <c r="G19" s="56"/>
      <c r="H19" s="47"/>
      <c r="I19" s="48"/>
      <c r="J19" s="48"/>
      <c r="K19" s="48"/>
    </row>
    <row r="20" spans="1:11" s="12" customFormat="1" ht="33" customHeight="1" x14ac:dyDescent="0.35">
      <c r="A20" s="11" t="s">
        <v>88</v>
      </c>
      <c r="B20" s="48"/>
      <c r="C20" s="47"/>
      <c r="D20" s="47"/>
      <c r="E20" s="48"/>
      <c r="F20" s="54"/>
      <c r="G20" s="56"/>
      <c r="H20" s="47"/>
      <c r="I20" s="48"/>
      <c r="J20" s="48"/>
      <c r="K20" s="48"/>
    </row>
    <row r="21" spans="1:11" s="12" customFormat="1" ht="33" customHeight="1" x14ac:dyDescent="0.35">
      <c r="A21" s="11" t="s">
        <v>89</v>
      </c>
      <c r="B21" s="48"/>
      <c r="C21" s="47"/>
      <c r="D21" s="47"/>
      <c r="E21" s="48"/>
      <c r="F21" s="54"/>
      <c r="G21" s="56"/>
      <c r="H21" s="47"/>
      <c r="I21" s="48"/>
      <c r="J21" s="48"/>
      <c r="K21" s="48"/>
    </row>
    <row r="22" spans="1:11" s="12" customFormat="1" ht="33" customHeight="1" x14ac:dyDescent="0.35">
      <c r="A22" s="11" t="s">
        <v>90</v>
      </c>
      <c r="B22" s="48"/>
      <c r="C22" s="47"/>
      <c r="D22" s="47"/>
      <c r="E22" s="48"/>
      <c r="F22" s="54"/>
      <c r="G22" s="56"/>
      <c r="H22" s="47"/>
      <c r="I22" s="48"/>
      <c r="J22" s="48"/>
      <c r="K22" s="48"/>
    </row>
    <row r="23" spans="1:11" s="12" customFormat="1" ht="33" customHeight="1" x14ac:dyDescent="0.35">
      <c r="A23" s="11" t="s">
        <v>91</v>
      </c>
      <c r="B23" s="48"/>
      <c r="C23" s="47"/>
      <c r="D23" s="47"/>
      <c r="E23" s="48"/>
      <c r="F23" s="54"/>
      <c r="G23" s="56"/>
      <c r="H23" s="47"/>
      <c r="I23" s="48"/>
      <c r="J23" s="48"/>
      <c r="K23" s="48"/>
    </row>
    <row r="24" spans="1:11" s="12" customFormat="1" ht="33" customHeight="1" x14ac:dyDescent="0.35">
      <c r="A24" s="11" t="s">
        <v>92</v>
      </c>
      <c r="B24" s="48"/>
      <c r="C24" s="47"/>
      <c r="D24" s="47"/>
      <c r="E24" s="48"/>
      <c r="F24" s="54"/>
      <c r="G24" s="56"/>
      <c r="H24" s="47"/>
      <c r="I24" s="48"/>
      <c r="J24" s="48"/>
      <c r="K24" s="48"/>
    </row>
    <row r="25" spans="1:11" s="12" customFormat="1" ht="33" customHeight="1" x14ac:dyDescent="0.35">
      <c r="A25" s="11" t="s">
        <v>93</v>
      </c>
      <c r="B25" s="48"/>
      <c r="C25" s="47"/>
      <c r="D25" s="47"/>
      <c r="E25" s="48"/>
      <c r="F25" s="54"/>
      <c r="G25" s="56"/>
      <c r="H25" s="47"/>
      <c r="I25" s="48"/>
      <c r="J25" s="48"/>
      <c r="K25" s="48"/>
    </row>
    <row r="26" spans="1:11" s="12" customFormat="1" ht="33" customHeight="1" x14ac:dyDescent="0.35">
      <c r="A26" s="11" t="s">
        <v>94</v>
      </c>
      <c r="B26" s="48"/>
      <c r="C26" s="47"/>
      <c r="D26" s="47"/>
      <c r="E26" s="48"/>
      <c r="F26" s="54"/>
      <c r="G26" s="56"/>
      <c r="H26" s="47"/>
      <c r="I26" s="48"/>
      <c r="J26" s="48"/>
      <c r="K26" s="48"/>
    </row>
    <row r="27" spans="1:11" s="12" customFormat="1" ht="33" customHeight="1" x14ac:dyDescent="0.35">
      <c r="A27" s="11" t="s">
        <v>95</v>
      </c>
      <c r="B27" s="48"/>
      <c r="C27" s="47"/>
      <c r="D27" s="47"/>
      <c r="E27" s="48"/>
      <c r="F27" s="54"/>
      <c r="G27" s="56"/>
      <c r="H27" s="47"/>
      <c r="I27" s="48"/>
      <c r="J27" s="48"/>
      <c r="K27" s="48"/>
    </row>
    <row r="28" spans="1:11" s="12" customFormat="1" ht="33" customHeight="1" x14ac:dyDescent="0.35">
      <c r="A28" s="11" t="s">
        <v>96</v>
      </c>
      <c r="B28" s="48"/>
      <c r="C28" s="47"/>
      <c r="D28" s="47"/>
      <c r="E28" s="48"/>
      <c r="F28" s="54"/>
      <c r="G28" s="56"/>
      <c r="H28" s="47"/>
      <c r="I28" s="48"/>
      <c r="J28" s="48"/>
      <c r="K28" s="48"/>
    </row>
    <row r="29" spans="1:11" s="12" customFormat="1" ht="33" customHeight="1" x14ac:dyDescent="0.35">
      <c r="A29" s="11" t="s">
        <v>97</v>
      </c>
      <c r="B29" s="48"/>
      <c r="C29" s="47"/>
      <c r="D29" s="47"/>
      <c r="E29" s="48"/>
      <c r="F29" s="54"/>
      <c r="G29" s="56"/>
      <c r="H29" s="47"/>
      <c r="I29" s="48"/>
      <c r="J29" s="48"/>
      <c r="K29" s="48"/>
    </row>
  </sheetData>
  <mergeCells count="3">
    <mergeCell ref="D4:E4"/>
    <mergeCell ref="A2:G2"/>
    <mergeCell ref="A1:G1"/>
  </mergeCells>
  <phoneticPr fontId="8" type="noConversion"/>
  <conditionalFormatting sqref="A13:K29">
    <cfRule type="expression" dxfId="11" priority="24">
      <formula>$G13="Closed"</formula>
    </cfRule>
  </conditionalFormatting>
  <conditionalFormatting sqref="F13:F29">
    <cfRule type="containsText" dxfId="10" priority="4" operator="containsText" text="Red">
      <formula>NOT(ISERROR(SEARCH("Red",F13)))</formula>
    </cfRule>
    <cfRule type="containsText" dxfId="9" priority="5" operator="containsText" text="Amber">
      <formula>NOT(ISERROR(SEARCH("Amber",F13)))</formula>
    </cfRule>
    <cfRule type="containsText" dxfId="8" priority="6" operator="containsText" text="Green">
      <formula>NOT(ISERROR(SEARCH("Green",F13)))</formula>
    </cfRule>
  </conditionalFormatting>
  <dataValidations count="2">
    <dataValidation type="list" allowBlank="1" showInputMessage="1" showErrorMessage="1" sqref="F13:F29" xr:uid="{00000000-0002-0000-0300-000000000000}">
      <formula1>"Green, Amber, Red"</formula1>
    </dataValidation>
    <dataValidation type="list" allowBlank="1" showInputMessage="1" showErrorMessage="1" sqref="G13:G29" xr:uid="{00000000-0002-0000-0300-000001000000}">
      <formula1>"Open, Closed"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
  <sheetViews>
    <sheetView showGridLines="0" zoomScale="129" zoomScaleNormal="110" workbookViewId="0">
      <selection activeCell="H14" sqref="H14"/>
    </sheetView>
  </sheetViews>
  <sheetFormatPr defaultColWidth="8.7265625" defaultRowHeight="14.5" x14ac:dyDescent="0.35"/>
  <cols>
    <col min="1" max="1" width="6.54296875" customWidth="1"/>
    <col min="2" max="2" width="22.26953125" customWidth="1"/>
    <col min="3" max="3" width="34.81640625" customWidth="1"/>
    <col min="4" max="4" width="28.26953125" customWidth="1"/>
    <col min="5" max="5" width="14" customWidth="1"/>
    <col min="6" max="6" width="11.90625" style="1" customWidth="1"/>
    <col min="7" max="7" width="11.36328125" style="41" customWidth="1"/>
    <col min="8" max="8" width="23.6328125" customWidth="1"/>
    <col min="9" max="9" width="14.7265625" customWidth="1"/>
    <col min="10" max="10" width="16.1796875" customWidth="1"/>
    <col min="11" max="11" width="29.08984375" customWidth="1"/>
    <col min="12" max="12" width="11.7265625" customWidth="1"/>
    <col min="13" max="13" width="16.453125" customWidth="1"/>
    <col min="14" max="14" width="15.7265625" customWidth="1"/>
  </cols>
  <sheetData>
    <row r="1" spans="1:11" ht="34" customHeight="1" x14ac:dyDescent="0.35">
      <c r="A1" s="127" t="s">
        <v>36</v>
      </c>
      <c r="B1" s="127"/>
      <c r="C1" s="127"/>
      <c r="D1" s="127"/>
      <c r="E1" s="127"/>
      <c r="F1" s="127"/>
      <c r="G1" s="127"/>
    </row>
    <row r="2" spans="1:11" ht="13" customHeight="1" x14ac:dyDescent="0.35">
      <c r="A2" s="131" t="s">
        <v>256</v>
      </c>
      <c r="B2" s="131"/>
      <c r="C2" s="131"/>
      <c r="D2" s="131"/>
      <c r="E2" s="131"/>
      <c r="F2" s="131"/>
      <c r="G2" s="131"/>
    </row>
    <row r="4" spans="1:11" x14ac:dyDescent="0.35">
      <c r="A4" t="s">
        <v>8</v>
      </c>
      <c r="D4" s="124" t="s">
        <v>101</v>
      </c>
      <c r="E4" s="124"/>
      <c r="I4" s="125" t="s">
        <v>33</v>
      </c>
      <c r="J4" s="126"/>
    </row>
    <row r="5" spans="1:11" x14ac:dyDescent="0.35">
      <c r="D5" s="16" t="s">
        <v>4</v>
      </c>
      <c r="E5" s="2" t="str" cm="1">
        <f t="array" ref="E5">IF(SUM(IF((F:F="High")*(G:G&lt;&gt;"closed"),1,0))=0,"",SUM(IF((F:F="High")*(G:G&lt;&gt;"closed"),1,0)))</f>
        <v/>
      </c>
      <c r="I5" s="20" t="s">
        <v>7</v>
      </c>
      <c r="J5" s="3" t="str">
        <f>IF(Risks!F7=0,"",Risks!F7)</f>
        <v/>
      </c>
    </row>
    <row r="6" spans="1:11" ht="15" thickBot="1" x14ac:dyDescent="0.4">
      <c r="D6" s="15" t="s">
        <v>5</v>
      </c>
      <c r="E6" s="2" t="str" cm="1">
        <f t="array" ref="E6">IF(SUM(IF((F:F="Moderate")*(G:G&lt;&gt;"closed"),1,0))=0,"",SUM(IF((F:F="Moderate")*(G:G&lt;&gt;"closed"),1,0)))</f>
        <v/>
      </c>
      <c r="I6" s="20" t="s">
        <v>34</v>
      </c>
      <c r="J6" s="3" t="str">
        <f>IF(Assumptions!L6=0,"",Assumptions!L6)</f>
        <v/>
      </c>
    </row>
    <row r="7" spans="1:11" ht="15" thickBot="1" x14ac:dyDescent="0.4">
      <c r="B7" s="34" t="s">
        <v>249</v>
      </c>
      <c r="D7" s="10" t="s">
        <v>6</v>
      </c>
      <c r="E7" s="2" t="str" cm="1">
        <f t="array" ref="E7">IF(SUM(IF((F:F="Low")*(G:G&lt;&gt;"closed"),1,0))=0,"",SUM(IF((F:F="Low")*(G:G&lt;&gt;"closed"),1,0)))</f>
        <v/>
      </c>
      <c r="I7" s="20" t="s">
        <v>35</v>
      </c>
      <c r="J7" s="3">
        <f>Issues!E8</f>
        <v>0</v>
      </c>
    </row>
    <row r="8" spans="1:11" ht="19" thickBot="1" x14ac:dyDescent="0.5">
      <c r="B8" s="35" t="str">
        <f>IF(COUNTA(G:G)=0, "", IFERROR(COUNTIFS(G:G, "committed", G:G, "&lt;&gt;closed") / (COUNTIFS(G:G, "committed", G:G, "&lt;&gt;closed") + COUNTIFS(G:G, "not committed", G:G, "&lt;&gt;closed")), ""))</f>
        <v/>
      </c>
      <c r="D8" s="19" t="s">
        <v>30</v>
      </c>
      <c r="E8" s="2">
        <f>SUM(E5:E7)</f>
        <v>0</v>
      </c>
      <c r="I8" s="20" t="s">
        <v>36</v>
      </c>
      <c r="J8" s="3">
        <f>E8</f>
        <v>0</v>
      </c>
    </row>
    <row r="11" spans="1:11" s="14" customFormat="1" ht="30" customHeight="1" x14ac:dyDescent="0.35">
      <c r="A11" s="13" t="s">
        <v>9</v>
      </c>
      <c r="B11" s="13" t="s">
        <v>10</v>
      </c>
      <c r="C11" s="13" t="s">
        <v>11</v>
      </c>
      <c r="D11" s="13" t="s">
        <v>98</v>
      </c>
      <c r="E11" s="18" t="s">
        <v>32</v>
      </c>
      <c r="F11" s="23" t="s">
        <v>103</v>
      </c>
      <c r="G11" s="17" t="s">
        <v>17</v>
      </c>
      <c r="H11" s="13" t="s">
        <v>45</v>
      </c>
      <c r="I11" s="13" t="s">
        <v>18</v>
      </c>
      <c r="J11" s="13" t="s">
        <v>28</v>
      </c>
      <c r="K11" s="18" t="s">
        <v>37</v>
      </c>
    </row>
    <row r="12" spans="1:11" x14ac:dyDescent="0.35">
      <c r="A12" s="4"/>
      <c r="B12" s="4"/>
      <c r="C12" s="4"/>
      <c r="D12" s="4"/>
      <c r="E12" s="4"/>
      <c r="F12" s="5"/>
      <c r="G12" s="42"/>
      <c r="H12" s="4"/>
      <c r="I12" s="4"/>
      <c r="J12" s="4"/>
      <c r="K12" s="4"/>
    </row>
    <row r="13" spans="1:11" s="12" customFormat="1" ht="33" customHeight="1" x14ac:dyDescent="0.35">
      <c r="A13" s="11" t="s">
        <v>81</v>
      </c>
      <c r="B13" s="48"/>
      <c r="C13" s="47" t="s">
        <v>102</v>
      </c>
      <c r="D13" s="47"/>
      <c r="E13" s="48"/>
      <c r="F13" s="54"/>
      <c r="G13" s="57"/>
      <c r="H13" s="47"/>
      <c r="I13" s="48"/>
      <c r="J13" s="48"/>
      <c r="K13" s="48"/>
    </row>
    <row r="14" spans="1:11" s="12" customFormat="1" ht="33" customHeight="1" x14ac:dyDescent="0.35">
      <c r="A14" s="11" t="s">
        <v>82</v>
      </c>
      <c r="B14" s="48"/>
      <c r="C14" s="47" t="s">
        <v>102</v>
      </c>
      <c r="D14" s="47"/>
      <c r="E14" s="48"/>
      <c r="F14" s="54"/>
      <c r="G14" s="57"/>
      <c r="H14" s="47"/>
      <c r="I14" s="48"/>
      <c r="J14" s="48"/>
      <c r="K14" s="48"/>
    </row>
    <row r="15" spans="1:11" s="12" customFormat="1" ht="33" customHeight="1" x14ac:dyDescent="0.35">
      <c r="A15" s="11" t="s">
        <v>83</v>
      </c>
      <c r="B15" s="48"/>
      <c r="C15" s="47" t="s">
        <v>102</v>
      </c>
      <c r="D15" s="47"/>
      <c r="E15" s="48"/>
      <c r="F15" s="54"/>
      <c r="G15" s="57"/>
      <c r="H15" s="47"/>
      <c r="I15" s="48"/>
      <c r="J15" s="48"/>
      <c r="K15" s="48"/>
    </row>
    <row r="16" spans="1:11" s="12" customFormat="1" ht="33" customHeight="1" x14ac:dyDescent="0.35">
      <c r="A16" s="11" t="s">
        <v>84</v>
      </c>
      <c r="B16" s="48"/>
      <c r="C16" s="47" t="s">
        <v>102</v>
      </c>
      <c r="D16" s="47"/>
      <c r="E16" s="48"/>
      <c r="F16" s="54"/>
      <c r="G16" s="57"/>
      <c r="H16" s="47"/>
      <c r="I16" s="48"/>
      <c r="J16" s="48"/>
      <c r="K16" s="48"/>
    </row>
    <row r="17" spans="1:11" s="12" customFormat="1" ht="33" customHeight="1" x14ac:dyDescent="0.35">
      <c r="A17" s="11" t="s">
        <v>85</v>
      </c>
      <c r="B17" s="48"/>
      <c r="C17" s="47" t="s">
        <v>102</v>
      </c>
      <c r="D17" s="47"/>
      <c r="E17" s="48"/>
      <c r="F17" s="54"/>
      <c r="G17" s="57"/>
      <c r="H17" s="47"/>
      <c r="I17" s="48"/>
      <c r="J17" s="48"/>
      <c r="K17" s="48"/>
    </row>
    <row r="18" spans="1:11" s="12" customFormat="1" ht="33" customHeight="1" x14ac:dyDescent="0.35">
      <c r="A18" s="11" t="s">
        <v>86</v>
      </c>
      <c r="B18" s="48"/>
      <c r="C18" s="47" t="s">
        <v>102</v>
      </c>
      <c r="D18" s="47"/>
      <c r="E18" s="48"/>
      <c r="F18" s="54"/>
      <c r="G18" s="57"/>
      <c r="H18" s="47"/>
      <c r="I18" s="48"/>
      <c r="J18" s="48"/>
      <c r="K18" s="48"/>
    </row>
    <row r="19" spans="1:11" s="12" customFormat="1" ht="33" customHeight="1" x14ac:dyDescent="0.35">
      <c r="A19" s="11" t="s">
        <v>87</v>
      </c>
      <c r="B19" s="48"/>
      <c r="C19" s="47" t="s">
        <v>102</v>
      </c>
      <c r="D19" s="47"/>
      <c r="E19" s="48"/>
      <c r="F19" s="54"/>
      <c r="G19" s="57"/>
      <c r="H19" s="47"/>
      <c r="I19" s="48"/>
      <c r="J19" s="48"/>
      <c r="K19" s="48"/>
    </row>
    <row r="20" spans="1:11" s="12" customFormat="1" ht="33" customHeight="1" x14ac:dyDescent="0.35">
      <c r="A20" s="11" t="s">
        <v>88</v>
      </c>
      <c r="B20" s="48"/>
      <c r="C20" s="47" t="s">
        <v>102</v>
      </c>
      <c r="D20" s="47"/>
      <c r="E20" s="48"/>
      <c r="F20" s="54"/>
      <c r="G20" s="57"/>
      <c r="H20" s="47"/>
      <c r="I20" s="48"/>
      <c r="J20" s="48"/>
      <c r="K20" s="48"/>
    </row>
    <row r="21" spans="1:11" s="12" customFormat="1" ht="33" customHeight="1" x14ac:dyDescent="0.35">
      <c r="A21" s="11" t="s">
        <v>89</v>
      </c>
      <c r="B21" s="48"/>
      <c r="C21" s="47" t="s">
        <v>102</v>
      </c>
      <c r="D21" s="47"/>
      <c r="E21" s="48"/>
      <c r="F21" s="54"/>
      <c r="G21" s="57"/>
      <c r="H21" s="47"/>
      <c r="I21" s="48"/>
      <c r="J21" s="48"/>
      <c r="K21" s="48"/>
    </row>
    <row r="22" spans="1:11" s="12" customFormat="1" ht="33" customHeight="1" x14ac:dyDescent="0.35">
      <c r="A22" s="11" t="s">
        <v>90</v>
      </c>
      <c r="B22" s="48"/>
      <c r="C22" s="47" t="s">
        <v>102</v>
      </c>
      <c r="D22" s="47"/>
      <c r="E22" s="48"/>
      <c r="F22" s="54"/>
      <c r="G22" s="57"/>
      <c r="H22" s="47"/>
      <c r="I22" s="48"/>
      <c r="J22" s="48"/>
      <c r="K22" s="48"/>
    </row>
    <row r="23" spans="1:11" s="12" customFormat="1" ht="33" customHeight="1" x14ac:dyDescent="0.35">
      <c r="A23" s="11" t="s">
        <v>91</v>
      </c>
      <c r="B23" s="48"/>
      <c r="C23" s="47" t="s">
        <v>102</v>
      </c>
      <c r="D23" s="47"/>
      <c r="E23" s="48"/>
      <c r="F23" s="54"/>
      <c r="G23" s="57"/>
      <c r="H23" s="47"/>
      <c r="I23" s="48"/>
      <c r="J23" s="48"/>
      <c r="K23" s="48"/>
    </row>
    <row r="24" spans="1:11" s="12" customFormat="1" ht="33" customHeight="1" x14ac:dyDescent="0.35">
      <c r="A24" s="11" t="s">
        <v>92</v>
      </c>
      <c r="B24" s="48"/>
      <c r="C24" s="47" t="s">
        <v>102</v>
      </c>
      <c r="D24" s="47"/>
      <c r="E24" s="48"/>
      <c r="F24" s="54"/>
      <c r="G24" s="57"/>
      <c r="H24" s="47"/>
      <c r="I24" s="48"/>
      <c r="J24" s="48"/>
      <c r="K24" s="48"/>
    </row>
    <row r="25" spans="1:11" s="12" customFormat="1" ht="33" customHeight="1" x14ac:dyDescent="0.35">
      <c r="A25" s="11" t="s">
        <v>93</v>
      </c>
      <c r="B25" s="48"/>
      <c r="C25" s="47" t="s">
        <v>102</v>
      </c>
      <c r="D25" s="47"/>
      <c r="E25" s="48"/>
      <c r="F25" s="54"/>
      <c r="G25" s="57"/>
      <c r="H25" s="47"/>
      <c r="I25" s="48"/>
      <c r="J25" s="48"/>
      <c r="K25" s="48"/>
    </row>
    <row r="26" spans="1:11" s="12" customFormat="1" ht="33" customHeight="1" x14ac:dyDescent="0.35">
      <c r="A26" s="11" t="s">
        <v>94</v>
      </c>
      <c r="B26" s="48"/>
      <c r="C26" s="47" t="s">
        <v>102</v>
      </c>
      <c r="D26" s="47"/>
      <c r="E26" s="48"/>
      <c r="F26" s="54"/>
      <c r="G26" s="57"/>
      <c r="H26" s="47"/>
      <c r="I26" s="48"/>
      <c r="J26" s="48"/>
      <c r="K26" s="48"/>
    </row>
    <row r="27" spans="1:11" s="12" customFormat="1" ht="33" customHeight="1" x14ac:dyDescent="0.35">
      <c r="A27" s="11" t="s">
        <v>95</v>
      </c>
      <c r="B27" s="48"/>
      <c r="C27" s="47" t="s">
        <v>102</v>
      </c>
      <c r="D27" s="47"/>
      <c r="E27" s="48"/>
      <c r="F27" s="54"/>
      <c r="G27" s="57"/>
      <c r="H27" s="47"/>
      <c r="I27" s="48"/>
      <c r="J27" s="48"/>
      <c r="K27" s="48"/>
    </row>
    <row r="28" spans="1:11" s="12" customFormat="1" ht="33" customHeight="1" x14ac:dyDescent="0.35">
      <c r="A28" s="11" t="s">
        <v>96</v>
      </c>
      <c r="B28" s="48"/>
      <c r="C28" s="47" t="s">
        <v>102</v>
      </c>
      <c r="D28" s="47"/>
      <c r="E28" s="48"/>
      <c r="F28" s="54"/>
      <c r="G28" s="57"/>
      <c r="H28" s="47"/>
      <c r="I28" s="48"/>
      <c r="J28" s="48"/>
      <c r="K28" s="48"/>
    </row>
    <row r="29" spans="1:11" s="12" customFormat="1" ht="33" customHeight="1" x14ac:dyDescent="0.35">
      <c r="A29" s="11" t="s">
        <v>97</v>
      </c>
      <c r="B29" s="48"/>
      <c r="C29" s="47" t="s">
        <v>102</v>
      </c>
      <c r="D29" s="47"/>
      <c r="E29" s="48"/>
      <c r="F29" s="54"/>
      <c r="G29" s="57"/>
      <c r="H29" s="47"/>
      <c r="I29" s="48"/>
      <c r="J29" s="48"/>
      <c r="K29" s="48"/>
    </row>
  </sheetData>
  <mergeCells count="4">
    <mergeCell ref="D4:E4"/>
    <mergeCell ref="I4:J4"/>
    <mergeCell ref="A2:G2"/>
    <mergeCell ref="A1:G1"/>
  </mergeCells>
  <conditionalFormatting sqref="A13:K29">
    <cfRule type="expression" dxfId="7" priority="14">
      <formula>$G13="Closed"</formula>
    </cfRule>
  </conditionalFormatting>
  <conditionalFormatting sqref="F13:F29">
    <cfRule type="containsText" dxfId="6" priority="1" operator="containsText" text="Moderate">
      <formula>NOT(ISERROR(SEARCH("Moderate",F13)))</formula>
    </cfRule>
    <cfRule type="containsText" dxfId="5" priority="3" operator="containsText" text="High">
      <formula>NOT(ISERROR(SEARCH("High",F13)))</formula>
    </cfRule>
    <cfRule type="containsText" dxfId="4" priority="9" operator="containsText" text="Low">
      <formula>NOT(ISERROR(SEARCH("Low",F13)))</formula>
    </cfRule>
    <cfRule type="cellIs" dxfId="3" priority="10" operator="between">
      <formula>15</formula>
      <formula>25</formula>
    </cfRule>
    <cfRule type="cellIs" dxfId="2" priority="11" operator="between">
      <formula>8</formula>
      <formula>12</formula>
    </cfRule>
    <cfRule type="cellIs" dxfId="1" priority="12" operator="between">
      <formula>4</formula>
      <formula>6</formula>
    </cfRule>
    <cfRule type="cellIs" dxfId="0" priority="13" operator="between">
      <formula>1</formula>
      <formula>3</formula>
    </cfRule>
  </conditionalFormatting>
  <dataValidations count="2">
    <dataValidation type="list" allowBlank="1" showInputMessage="1" showErrorMessage="1" sqref="G13:G29" xr:uid="{00000000-0002-0000-0400-000000000000}">
      <formula1>"Committed, Not Committed, Closed"</formula1>
    </dataValidation>
    <dataValidation type="list" allowBlank="1" showInputMessage="1" showErrorMessage="1" sqref="F13:F29" xr:uid="{00000000-0002-0000-0400-000001000000}">
      <formula1>"Low, Moderate, High"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3348-6F4C-4338-B26E-CC228E93505A}">
  <dimension ref="A3:L59"/>
  <sheetViews>
    <sheetView showGridLines="0" topLeftCell="A4" zoomScaleNormal="100" workbookViewId="0">
      <selection activeCell="L25" sqref="L25"/>
    </sheetView>
  </sheetViews>
  <sheetFormatPr defaultRowHeight="18.5" x14ac:dyDescent="0.45"/>
  <cols>
    <col min="1" max="11" width="8.7265625" style="27"/>
    <col min="12" max="12" width="17.81640625" style="27" customWidth="1"/>
    <col min="13" max="16384" width="8.7265625" style="27"/>
  </cols>
  <sheetData>
    <row r="3" spans="1:12" x14ac:dyDescent="0.45">
      <c r="K3" s="132" t="s">
        <v>125</v>
      </c>
      <c r="L3" s="133"/>
    </row>
    <row r="4" spans="1:12" x14ac:dyDescent="0.45">
      <c r="K4" s="24" t="s">
        <v>126</v>
      </c>
      <c r="L4" s="28" t="s">
        <v>129</v>
      </c>
    </row>
    <row r="5" spans="1:12" x14ac:dyDescent="0.45">
      <c r="K5" s="25" t="s">
        <v>127</v>
      </c>
      <c r="L5" s="28" t="s">
        <v>130</v>
      </c>
    </row>
    <row r="6" spans="1:12" x14ac:dyDescent="0.45">
      <c r="K6" s="26" t="s">
        <v>128</v>
      </c>
      <c r="L6" s="28" t="s">
        <v>131</v>
      </c>
    </row>
    <row r="12" spans="1:12" x14ac:dyDescent="0.45">
      <c r="A12" s="29" t="s">
        <v>133</v>
      </c>
    </row>
    <row r="14" spans="1:12" x14ac:dyDescent="0.45">
      <c r="A14" s="27" t="s">
        <v>141</v>
      </c>
    </row>
    <row r="15" spans="1:12" x14ac:dyDescent="0.45">
      <c r="A15" s="27" t="s">
        <v>132</v>
      </c>
    </row>
    <row r="16" spans="1:12" x14ac:dyDescent="0.45">
      <c r="A16" s="27" t="s">
        <v>142</v>
      </c>
    </row>
    <row r="18" spans="1:1" x14ac:dyDescent="0.45">
      <c r="A18" s="30" t="s">
        <v>116</v>
      </c>
    </row>
    <row r="19" spans="1:1" x14ac:dyDescent="0.45">
      <c r="A19" s="30"/>
    </row>
    <row r="20" spans="1:1" x14ac:dyDescent="0.45">
      <c r="A20" s="27" t="s">
        <v>139</v>
      </c>
    </row>
    <row r="21" spans="1:1" x14ac:dyDescent="0.45">
      <c r="A21" s="27" t="s">
        <v>143</v>
      </c>
    </row>
    <row r="22" spans="1:1" x14ac:dyDescent="0.45">
      <c r="A22" s="27" t="s">
        <v>144</v>
      </c>
    </row>
    <row r="23" spans="1:1" x14ac:dyDescent="0.45">
      <c r="A23" s="27" t="s">
        <v>145</v>
      </c>
    </row>
    <row r="25" spans="1:1" x14ac:dyDescent="0.45">
      <c r="A25" s="27" t="s">
        <v>140</v>
      </c>
    </row>
    <row r="26" spans="1:1" x14ac:dyDescent="0.45">
      <c r="A26" s="27" t="s">
        <v>146</v>
      </c>
    </row>
    <row r="27" spans="1:1" x14ac:dyDescent="0.45">
      <c r="A27" s="27" t="s">
        <v>147</v>
      </c>
    </row>
    <row r="28" spans="1:1" x14ac:dyDescent="0.45">
      <c r="A28" s="27" t="s">
        <v>148</v>
      </c>
    </row>
    <row r="30" spans="1:1" x14ac:dyDescent="0.45">
      <c r="A30" s="30" t="s">
        <v>115</v>
      </c>
    </row>
    <row r="32" spans="1:1" x14ac:dyDescent="0.45">
      <c r="A32" s="27" t="s">
        <v>113</v>
      </c>
    </row>
    <row r="33" spans="1:1" x14ac:dyDescent="0.45">
      <c r="A33" s="27" t="s">
        <v>114</v>
      </c>
    </row>
    <row r="35" spans="1:1" x14ac:dyDescent="0.45">
      <c r="A35" s="29" t="s">
        <v>117</v>
      </c>
    </row>
    <row r="37" spans="1:1" x14ac:dyDescent="0.45">
      <c r="A37" s="27" t="s">
        <v>138</v>
      </c>
    </row>
    <row r="39" spans="1:1" x14ac:dyDescent="0.45">
      <c r="A39" s="27" t="s">
        <v>124</v>
      </c>
    </row>
    <row r="41" spans="1:1" x14ac:dyDescent="0.45">
      <c r="A41" s="31" t="s">
        <v>135</v>
      </c>
    </row>
    <row r="42" spans="1:1" x14ac:dyDescent="0.45">
      <c r="A42" s="27" t="s">
        <v>107</v>
      </c>
    </row>
    <row r="43" spans="1:1" x14ac:dyDescent="0.45">
      <c r="A43" s="27" t="s">
        <v>108</v>
      </c>
    </row>
    <row r="45" spans="1:1" x14ac:dyDescent="0.45">
      <c r="A45" s="32" t="s">
        <v>136</v>
      </c>
    </row>
    <row r="46" spans="1:1" x14ac:dyDescent="0.45">
      <c r="A46" s="27" t="s">
        <v>109</v>
      </c>
    </row>
    <row r="47" spans="1:1" x14ac:dyDescent="0.45">
      <c r="A47" s="27" t="s">
        <v>110</v>
      </c>
    </row>
    <row r="49" spans="1:1" x14ac:dyDescent="0.45">
      <c r="A49" s="33" t="s">
        <v>137</v>
      </c>
    </row>
    <row r="50" spans="1:1" x14ac:dyDescent="0.45">
      <c r="A50" s="27" t="s">
        <v>111</v>
      </c>
    </row>
    <row r="51" spans="1:1" x14ac:dyDescent="0.45">
      <c r="A51" s="27" t="s">
        <v>112</v>
      </c>
    </row>
    <row r="53" spans="1:1" x14ac:dyDescent="0.45">
      <c r="A53" s="30" t="s">
        <v>122</v>
      </c>
    </row>
    <row r="55" spans="1:1" x14ac:dyDescent="0.45">
      <c r="A55" s="27" t="s">
        <v>119</v>
      </c>
    </row>
    <row r="56" spans="1:1" x14ac:dyDescent="0.45">
      <c r="A56" s="27" t="s">
        <v>120</v>
      </c>
    </row>
    <row r="57" spans="1:1" x14ac:dyDescent="0.45">
      <c r="A57" s="27" t="s">
        <v>121</v>
      </c>
    </row>
    <row r="59" spans="1:1" x14ac:dyDescent="0.45">
      <c r="A59" s="27" t="s">
        <v>118</v>
      </c>
    </row>
  </sheetData>
  <mergeCells count="1">
    <mergeCell ref="K3:L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9D6F-9F99-4A33-9328-BBD136E215C3}">
  <sheetPr>
    <tabColor rgb="FFFFFF00"/>
  </sheetPr>
  <dimension ref="A2:C165"/>
  <sheetViews>
    <sheetView showGridLines="0" tabSelected="1" topLeftCell="A56" zoomScale="113" workbookViewId="0">
      <selection activeCell="F66" sqref="F66"/>
    </sheetView>
  </sheetViews>
  <sheetFormatPr defaultRowHeight="14.5" x14ac:dyDescent="0.35"/>
  <sheetData>
    <row r="2" spans="1:3" x14ac:dyDescent="0.35">
      <c r="A2" t="s">
        <v>162</v>
      </c>
    </row>
    <row r="4" spans="1:3" x14ac:dyDescent="0.35">
      <c r="A4" t="s">
        <v>151</v>
      </c>
    </row>
    <row r="5" spans="1:3" x14ac:dyDescent="0.35">
      <c r="A5" t="s">
        <v>152</v>
      </c>
    </row>
    <row r="6" spans="1:3" x14ac:dyDescent="0.35">
      <c r="A6" t="s">
        <v>153</v>
      </c>
    </row>
    <row r="7" spans="1:3" x14ac:dyDescent="0.35">
      <c r="A7" t="s">
        <v>154</v>
      </c>
    </row>
    <row r="9" spans="1:3" s="37" customFormat="1" ht="28.5" x14ac:dyDescent="0.65">
      <c r="A9" s="38" t="s">
        <v>175</v>
      </c>
      <c r="B9"/>
      <c r="C9"/>
    </row>
    <row r="10" spans="1:3" s="37" customFormat="1" x14ac:dyDescent="0.35">
      <c r="A10"/>
      <c r="B10"/>
      <c r="C10"/>
    </row>
    <row r="11" spans="1:3" s="37" customFormat="1" x14ac:dyDescent="0.35">
      <c r="A11" t="s">
        <v>176</v>
      </c>
      <c r="B11"/>
      <c r="C11"/>
    </row>
    <row r="12" spans="1:3" s="37" customFormat="1" x14ac:dyDescent="0.35">
      <c r="A12"/>
      <c r="B12"/>
      <c r="C12"/>
    </row>
    <row r="13" spans="1:3" s="37" customFormat="1" x14ac:dyDescent="0.35">
      <c r="A13" t="s">
        <v>183</v>
      </c>
      <c r="B13"/>
      <c r="C13"/>
    </row>
    <row r="14" spans="1:3" s="37" customFormat="1" x14ac:dyDescent="0.35">
      <c r="A14"/>
      <c r="B14"/>
      <c r="C14"/>
    </row>
    <row r="15" spans="1:3" s="37" customFormat="1" x14ac:dyDescent="0.35">
      <c r="A15" t="s">
        <v>184</v>
      </c>
      <c r="B15"/>
      <c r="C15"/>
    </row>
    <row r="16" spans="1:3" s="37" customFormat="1" x14ac:dyDescent="0.35">
      <c r="A16" t="s">
        <v>202</v>
      </c>
      <c r="B16"/>
      <c r="C16"/>
    </row>
    <row r="17" spans="1:3" s="37" customFormat="1" x14ac:dyDescent="0.35">
      <c r="A17" t="s">
        <v>185</v>
      </c>
      <c r="B17"/>
      <c r="C17"/>
    </row>
    <row r="18" spans="1:3" s="37" customFormat="1" x14ac:dyDescent="0.35">
      <c r="A18" t="s">
        <v>198</v>
      </c>
      <c r="B18"/>
      <c r="C18"/>
    </row>
    <row r="19" spans="1:3" s="37" customFormat="1" x14ac:dyDescent="0.35">
      <c r="A19" t="s">
        <v>199</v>
      </c>
      <c r="B19"/>
      <c r="C19"/>
    </row>
    <row r="20" spans="1:3" s="37" customFormat="1" x14ac:dyDescent="0.35">
      <c r="A20" t="s">
        <v>186</v>
      </c>
      <c r="B20"/>
      <c r="C20"/>
    </row>
    <row r="21" spans="1:3" s="37" customFormat="1" x14ac:dyDescent="0.35">
      <c r="A21" t="s">
        <v>187</v>
      </c>
      <c r="B21"/>
      <c r="C21"/>
    </row>
    <row r="22" spans="1:3" s="37" customFormat="1" x14ac:dyDescent="0.35">
      <c r="A22" t="s">
        <v>188</v>
      </c>
      <c r="B22"/>
      <c r="C22"/>
    </row>
    <row r="23" spans="1:3" s="37" customFormat="1" x14ac:dyDescent="0.35">
      <c r="A23" t="s">
        <v>189</v>
      </c>
      <c r="B23"/>
      <c r="C23"/>
    </row>
    <row r="24" spans="1:3" s="37" customFormat="1" x14ac:dyDescent="0.35">
      <c r="A24"/>
      <c r="B24"/>
      <c r="C24"/>
    </row>
    <row r="25" spans="1:3" s="37" customFormat="1" x14ac:dyDescent="0.35">
      <c r="A25" t="s">
        <v>190</v>
      </c>
      <c r="B25"/>
      <c r="C25"/>
    </row>
    <row r="26" spans="1:3" s="37" customFormat="1" x14ac:dyDescent="0.35">
      <c r="A26"/>
      <c r="B26"/>
      <c r="C26"/>
    </row>
    <row r="27" spans="1:3" s="37" customFormat="1" x14ac:dyDescent="0.35">
      <c r="A27" s="6" t="s">
        <v>179</v>
      </c>
      <c r="B27"/>
      <c r="C27"/>
    </row>
    <row r="28" spans="1:3" s="37" customFormat="1" x14ac:dyDescent="0.35">
      <c r="A28" t="s">
        <v>191</v>
      </c>
      <c r="B28"/>
      <c r="C28"/>
    </row>
    <row r="29" spans="1:3" s="37" customFormat="1" x14ac:dyDescent="0.35">
      <c r="A29" t="s">
        <v>192</v>
      </c>
      <c r="B29"/>
      <c r="C29"/>
    </row>
    <row r="30" spans="1:3" s="37" customFormat="1" x14ac:dyDescent="0.35">
      <c r="A30"/>
      <c r="B30"/>
      <c r="C30"/>
    </row>
    <row r="31" spans="1:3" s="37" customFormat="1" x14ac:dyDescent="0.35">
      <c r="A31" s="6" t="s">
        <v>180</v>
      </c>
      <c r="B31"/>
      <c r="C31"/>
    </row>
    <row r="32" spans="1:3" s="37" customFormat="1" x14ac:dyDescent="0.35">
      <c r="A32" t="s">
        <v>193</v>
      </c>
      <c r="B32"/>
      <c r="C32"/>
    </row>
    <row r="33" spans="1:3" s="37" customFormat="1" x14ac:dyDescent="0.35">
      <c r="A33" s="39" t="s">
        <v>194</v>
      </c>
      <c r="B33"/>
      <c r="C33"/>
    </row>
    <row r="34" spans="1:3" s="37" customFormat="1" x14ac:dyDescent="0.35">
      <c r="A34"/>
      <c r="B34"/>
      <c r="C34"/>
    </row>
    <row r="35" spans="1:3" s="37" customFormat="1" x14ac:dyDescent="0.35">
      <c r="A35" t="s">
        <v>195</v>
      </c>
      <c r="B35"/>
      <c r="C35"/>
    </row>
    <row r="36" spans="1:3" s="37" customFormat="1" x14ac:dyDescent="0.35">
      <c r="A36"/>
      <c r="B36"/>
      <c r="C36"/>
    </row>
    <row r="37" spans="1:3" s="37" customFormat="1" x14ac:dyDescent="0.35">
      <c r="A37" t="s">
        <v>181</v>
      </c>
      <c r="B37"/>
      <c r="C37"/>
    </row>
    <row r="38" spans="1:3" s="37" customFormat="1" x14ac:dyDescent="0.35">
      <c r="A38" t="s">
        <v>196</v>
      </c>
      <c r="B38"/>
      <c r="C38"/>
    </row>
    <row r="39" spans="1:3" s="37" customFormat="1" x14ac:dyDescent="0.35">
      <c r="A39" t="s">
        <v>197</v>
      </c>
      <c r="B39"/>
      <c r="C39"/>
    </row>
    <row r="40" spans="1:3" s="37" customFormat="1" x14ac:dyDescent="0.35">
      <c r="A40"/>
      <c r="B40"/>
      <c r="C40"/>
    </row>
    <row r="41" spans="1:3" s="37" customFormat="1" x14ac:dyDescent="0.35">
      <c r="A41" t="s">
        <v>182</v>
      </c>
      <c r="B41"/>
      <c r="C41"/>
    </row>
    <row r="42" spans="1:3" s="37" customFormat="1" x14ac:dyDescent="0.35">
      <c r="A42" t="s">
        <v>200</v>
      </c>
      <c r="B42"/>
      <c r="C42"/>
    </row>
    <row r="43" spans="1:3" s="37" customFormat="1" x14ac:dyDescent="0.35">
      <c r="A43" t="s">
        <v>201</v>
      </c>
      <c r="B43"/>
      <c r="C43"/>
    </row>
    <row r="44" spans="1:3" s="37" customFormat="1" x14ac:dyDescent="0.35">
      <c r="A44"/>
      <c r="B44"/>
      <c r="C44"/>
    </row>
    <row r="45" spans="1:3" s="37" customFormat="1" x14ac:dyDescent="0.35">
      <c r="A45" s="6" t="s">
        <v>177</v>
      </c>
      <c r="B45"/>
      <c r="C45"/>
    </row>
    <row r="46" spans="1:3" s="37" customFormat="1" x14ac:dyDescent="0.35">
      <c r="A46"/>
      <c r="B46"/>
      <c r="C46"/>
    </row>
    <row r="47" spans="1:3" s="37" customFormat="1" x14ac:dyDescent="0.35">
      <c r="A47" t="s">
        <v>178</v>
      </c>
      <c r="B47"/>
      <c r="C47"/>
    </row>
    <row r="48" spans="1:3" s="37" customFormat="1" x14ac:dyDescent="0.35">
      <c r="A48"/>
      <c r="B48"/>
      <c r="C48"/>
    </row>
    <row r="49" spans="1:3" s="37" customFormat="1" x14ac:dyDescent="0.35">
      <c r="A49" t="s">
        <v>203</v>
      </c>
      <c r="B49"/>
      <c r="C49"/>
    </row>
    <row r="50" spans="1:3" s="37" customFormat="1" x14ac:dyDescent="0.35">
      <c r="A50" t="s">
        <v>204</v>
      </c>
      <c r="B50"/>
      <c r="C50"/>
    </row>
    <row r="51" spans="1:3" s="37" customFormat="1" x14ac:dyDescent="0.35">
      <c r="A51" t="s">
        <v>205</v>
      </c>
      <c r="B51"/>
      <c r="C51"/>
    </row>
    <row r="52" spans="1:3" s="37" customFormat="1" x14ac:dyDescent="0.35">
      <c r="A52" t="s">
        <v>206</v>
      </c>
      <c r="B52"/>
      <c r="C52"/>
    </row>
    <row r="53" spans="1:3" s="37" customFormat="1" x14ac:dyDescent="0.35">
      <c r="A53"/>
      <c r="B53"/>
      <c r="C53"/>
    </row>
    <row r="54" spans="1:3" s="37" customFormat="1" x14ac:dyDescent="0.35">
      <c r="A54" t="s">
        <v>207</v>
      </c>
      <c r="B54"/>
      <c r="C54"/>
    </row>
    <row r="57" spans="1:3" ht="28.5" x14ac:dyDescent="0.65">
      <c r="A57" s="38" t="s">
        <v>155</v>
      </c>
    </row>
    <row r="59" spans="1:3" x14ac:dyDescent="0.35">
      <c r="A59" t="s">
        <v>156</v>
      </c>
    </row>
    <row r="60" spans="1:3" x14ac:dyDescent="0.35">
      <c r="A60" t="s">
        <v>157</v>
      </c>
    </row>
    <row r="62" spans="1:3" x14ac:dyDescent="0.35">
      <c r="A62" t="s">
        <v>164</v>
      </c>
    </row>
    <row r="63" spans="1:3" x14ac:dyDescent="0.35">
      <c r="A63" s="36" t="s">
        <v>158</v>
      </c>
    </row>
    <row r="64" spans="1:3" x14ac:dyDescent="0.35">
      <c r="A64" s="36" t="s">
        <v>159</v>
      </c>
    </row>
    <row r="65" spans="1:1" x14ac:dyDescent="0.35">
      <c r="A65" s="36" t="s">
        <v>160</v>
      </c>
    </row>
    <row r="66" spans="1:1" x14ac:dyDescent="0.35">
      <c r="A66" s="36" t="s">
        <v>161</v>
      </c>
    </row>
    <row r="68" spans="1:1" x14ac:dyDescent="0.35">
      <c r="A68" t="s">
        <v>163</v>
      </c>
    </row>
    <row r="70" spans="1:1" x14ac:dyDescent="0.35">
      <c r="A70" s="6" t="s">
        <v>165</v>
      </c>
    </row>
    <row r="71" spans="1:1" x14ac:dyDescent="0.35">
      <c r="A71" t="s">
        <v>166</v>
      </c>
    </row>
    <row r="72" spans="1:1" x14ac:dyDescent="0.35">
      <c r="A72" t="s">
        <v>167</v>
      </c>
    </row>
    <row r="74" spans="1:1" x14ac:dyDescent="0.35">
      <c r="A74" s="6" t="s">
        <v>168</v>
      </c>
    </row>
    <row r="75" spans="1:1" x14ac:dyDescent="0.35">
      <c r="A75" t="s">
        <v>169</v>
      </c>
    </row>
    <row r="76" spans="1:1" x14ac:dyDescent="0.35">
      <c r="A76" t="s">
        <v>170</v>
      </c>
    </row>
    <row r="78" spans="1:1" x14ac:dyDescent="0.35">
      <c r="A78" t="s">
        <v>171</v>
      </c>
    </row>
    <row r="80" spans="1:1" x14ac:dyDescent="0.35">
      <c r="A80" t="s">
        <v>172</v>
      </c>
    </row>
    <row r="81" spans="1:1" x14ac:dyDescent="0.35">
      <c r="A81" t="s">
        <v>173</v>
      </c>
    </row>
    <row r="82" spans="1:1" x14ac:dyDescent="0.35">
      <c r="A82" t="s">
        <v>174</v>
      </c>
    </row>
    <row r="84" spans="1:1" x14ac:dyDescent="0.35">
      <c r="A84" t="s">
        <v>150</v>
      </c>
    </row>
    <row r="87" spans="1:1" ht="28.5" x14ac:dyDescent="0.65">
      <c r="A87" s="38" t="s">
        <v>208</v>
      </c>
    </row>
    <row r="89" spans="1:1" x14ac:dyDescent="0.35">
      <c r="A89" t="s">
        <v>210</v>
      </c>
    </row>
    <row r="91" spans="1:1" x14ac:dyDescent="0.35">
      <c r="A91" s="6" t="s">
        <v>209</v>
      </c>
    </row>
    <row r="93" spans="1:1" x14ac:dyDescent="0.35">
      <c r="A93" t="s">
        <v>211</v>
      </c>
    </row>
    <row r="95" spans="1:1" x14ac:dyDescent="0.35">
      <c r="A95" t="s">
        <v>212</v>
      </c>
    </row>
    <row r="96" spans="1:1" x14ac:dyDescent="0.35">
      <c r="A96" t="s">
        <v>213</v>
      </c>
    </row>
    <row r="97" spans="1:1" x14ac:dyDescent="0.35">
      <c r="A97" t="s">
        <v>214</v>
      </c>
    </row>
    <row r="98" spans="1:1" x14ac:dyDescent="0.35">
      <c r="A98" t="s">
        <v>219</v>
      </c>
    </row>
    <row r="99" spans="1:1" x14ac:dyDescent="0.35">
      <c r="A99" t="s">
        <v>215</v>
      </c>
    </row>
    <row r="100" spans="1:1" x14ac:dyDescent="0.35">
      <c r="A100" t="s">
        <v>216</v>
      </c>
    </row>
    <row r="101" spans="1:1" x14ac:dyDescent="0.35">
      <c r="A101" t="s">
        <v>217</v>
      </c>
    </row>
    <row r="102" spans="1:1" x14ac:dyDescent="0.35">
      <c r="A102" t="s">
        <v>218</v>
      </c>
    </row>
    <row r="104" spans="1:1" x14ac:dyDescent="0.35">
      <c r="A104" t="s">
        <v>190</v>
      </c>
    </row>
    <row r="106" spans="1:1" x14ac:dyDescent="0.35">
      <c r="A106" t="s">
        <v>179</v>
      </c>
    </row>
    <row r="108" spans="1:1" x14ac:dyDescent="0.35">
      <c r="A108" t="s">
        <v>228</v>
      </c>
    </row>
    <row r="109" spans="1:1" x14ac:dyDescent="0.35">
      <c r="A109" t="s">
        <v>229</v>
      </c>
    </row>
    <row r="111" spans="1:1" x14ac:dyDescent="0.35">
      <c r="A111" t="s">
        <v>180</v>
      </c>
    </row>
    <row r="113" spans="1:1" x14ac:dyDescent="0.35">
      <c r="A113" t="s">
        <v>226</v>
      </c>
    </row>
    <row r="114" spans="1:1" x14ac:dyDescent="0.35">
      <c r="A114" t="s">
        <v>227</v>
      </c>
    </row>
    <row r="116" spans="1:1" x14ac:dyDescent="0.35">
      <c r="A116" t="s">
        <v>220</v>
      </c>
    </row>
    <row r="118" spans="1:1" x14ac:dyDescent="0.35">
      <c r="A118" t="s">
        <v>224</v>
      </c>
    </row>
    <row r="119" spans="1:1" x14ac:dyDescent="0.35">
      <c r="A119" t="s">
        <v>225</v>
      </c>
    </row>
    <row r="121" spans="1:1" x14ac:dyDescent="0.35">
      <c r="A121" t="s">
        <v>221</v>
      </c>
    </row>
    <row r="123" spans="1:1" x14ac:dyDescent="0.35">
      <c r="A123" t="s">
        <v>222</v>
      </c>
    </row>
    <row r="124" spans="1:1" x14ac:dyDescent="0.35">
      <c r="A124" t="s">
        <v>223</v>
      </c>
    </row>
    <row r="126" spans="1:1" x14ac:dyDescent="0.35">
      <c r="A126" t="s">
        <v>230</v>
      </c>
    </row>
    <row r="129" spans="1:1" ht="28.5" x14ac:dyDescent="0.65">
      <c r="A129" s="38" t="s">
        <v>231</v>
      </c>
    </row>
    <row r="131" spans="1:1" x14ac:dyDescent="0.35">
      <c r="A131" t="s">
        <v>234</v>
      </c>
    </row>
    <row r="133" spans="1:1" x14ac:dyDescent="0.35">
      <c r="A133" s="6" t="s">
        <v>232</v>
      </c>
    </row>
    <row r="135" spans="1:1" x14ac:dyDescent="0.35">
      <c r="A135" t="s">
        <v>235</v>
      </c>
    </row>
    <row r="137" spans="1:1" x14ac:dyDescent="0.35">
      <c r="A137" t="s">
        <v>236</v>
      </c>
    </row>
    <row r="138" spans="1:1" x14ac:dyDescent="0.35">
      <c r="A138" t="s">
        <v>237</v>
      </c>
    </row>
    <row r="139" spans="1:1" x14ac:dyDescent="0.35">
      <c r="A139" t="s">
        <v>238</v>
      </c>
    </row>
    <row r="140" spans="1:1" x14ac:dyDescent="0.35">
      <c r="A140" t="s">
        <v>239</v>
      </c>
    </row>
    <row r="141" spans="1:1" x14ac:dyDescent="0.35">
      <c r="A141" t="s">
        <v>240</v>
      </c>
    </row>
    <row r="142" spans="1:1" x14ac:dyDescent="0.35">
      <c r="A142" t="s">
        <v>241</v>
      </c>
    </row>
    <row r="143" spans="1:1" x14ac:dyDescent="0.35">
      <c r="A143" t="s">
        <v>250</v>
      </c>
    </row>
    <row r="145" spans="1:1" x14ac:dyDescent="0.35">
      <c r="A145" t="s">
        <v>251</v>
      </c>
    </row>
    <row r="147" spans="1:1" x14ac:dyDescent="0.35">
      <c r="A147" t="s">
        <v>252</v>
      </c>
    </row>
    <row r="149" spans="1:1" x14ac:dyDescent="0.35">
      <c r="A149" t="s">
        <v>254</v>
      </c>
    </row>
    <row r="151" spans="1:1" x14ac:dyDescent="0.35">
      <c r="A151" t="s">
        <v>253</v>
      </c>
    </row>
    <row r="153" spans="1:1" x14ac:dyDescent="0.35">
      <c r="A153" t="s">
        <v>255</v>
      </c>
    </row>
    <row r="155" spans="1:1" x14ac:dyDescent="0.35">
      <c r="A155" t="s">
        <v>242</v>
      </c>
    </row>
    <row r="157" spans="1:1" x14ac:dyDescent="0.35">
      <c r="A157" t="s">
        <v>233</v>
      </c>
    </row>
    <row r="158" spans="1:1" x14ac:dyDescent="0.35">
      <c r="A158" t="s">
        <v>243</v>
      </c>
    </row>
    <row r="159" spans="1:1" x14ac:dyDescent="0.35">
      <c r="A159" t="s">
        <v>244</v>
      </c>
    </row>
    <row r="160" spans="1:1" x14ac:dyDescent="0.35">
      <c r="A160" t="s">
        <v>245</v>
      </c>
    </row>
    <row r="162" spans="1:1" x14ac:dyDescent="0.35">
      <c r="A162" t="s">
        <v>246</v>
      </c>
    </row>
    <row r="164" spans="1:1" x14ac:dyDescent="0.35">
      <c r="A164" t="s">
        <v>247</v>
      </c>
    </row>
    <row r="165" spans="1:1" x14ac:dyDescent="0.35">
      <c r="A165" t="s">
        <v>248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RAID DASHBOARD</vt:lpstr>
      <vt:lpstr>Risks</vt:lpstr>
      <vt:lpstr>Assumptions</vt:lpstr>
      <vt:lpstr>Issues</vt:lpstr>
      <vt:lpstr>Dependencies</vt:lpstr>
      <vt:lpstr>Risk Scoring</vt:lpstr>
      <vt:lpstr>Help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Hesse</dc:creator>
  <cp:lastModifiedBy>N Hesse</cp:lastModifiedBy>
  <dcterms:created xsi:type="dcterms:W3CDTF">2024-05-17T10:27:31Z</dcterms:created>
  <dcterms:modified xsi:type="dcterms:W3CDTF">2026-06-02T13:00:08Z</dcterms:modified>
</cp:coreProperties>
</file>