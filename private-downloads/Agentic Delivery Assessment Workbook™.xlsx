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Nina Hesse\nina-enterprise-portfolio\nina-enterprise-portfolio\public\Resources\"/>
    </mc:Choice>
  </mc:AlternateContent>
  <xr:revisionPtr revIDLastSave="0" documentId="13_ncr:1_{2BC045FD-CFE1-49EF-B4CC-0B61979C53F7}" xr6:coauthVersionLast="47" xr6:coauthVersionMax="47" xr10:uidLastSave="{00000000-0000-0000-0000-000000000000}"/>
  <bookViews>
    <workbookView xWindow="-110" yWindow="-110" windowWidth="19420" windowHeight="10300" firstSheet="6" activeTab="7" xr2:uid="{00000000-000D-0000-FFFF-FFFF00000000}"/>
  </bookViews>
  <sheets>
    <sheet name="Agentic Delivery Assessment" sheetId="1" r:id="rId1"/>
    <sheet name="Agentic Delivery Maturity Matri" sheetId="2" r:id="rId2"/>
    <sheet name="Agentic Delivery Scoring Engine" sheetId="3" r:id="rId3"/>
    <sheet name="Agentic Delivery Heatmap" sheetId="4" r:id="rId4"/>
    <sheet name="Drop-Down Keys - Do Not Delete" sheetId="10" state="hidden" r:id="rId5"/>
    <sheet name="Agentic Delivery Dashboard" sheetId="6" r:id="rId6"/>
    <sheet name="Agentic Delivery Roadmap" sheetId="7" r:id="rId7"/>
    <sheet name="Agentic Delivery Executive Repo" sheetId="8" r:id="rId8"/>
    <sheet name="Domain Recommendation Library" sheetId="11" r:id="rId9"/>
    <sheet name="Agentic Delivery Framework Gui" sheetId="9" r:id="rId10"/>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3" l="1"/>
  <c r="F5" i="6"/>
  <c r="D54" i="7" a="1"/>
  <c r="D53" i="7" a="1"/>
  <c r="D52" i="7" a="1"/>
  <c r="B5" i="8"/>
  <c r="B4" i="8"/>
  <c r="B6" i="8"/>
  <c r="B3" i="8"/>
  <c r="A20" i="8"/>
  <c r="A19" i="8"/>
  <c r="A18" i="8"/>
  <c r="B20" i="8"/>
  <c r="B19" i="8"/>
  <c r="B18" i="8"/>
  <c r="C12" i="7"/>
  <c r="B11" i="3"/>
  <c r="F53" i="7"/>
  <c r="F54" i="7"/>
  <c r="F52" i="7"/>
  <c r="A23" i="8"/>
  <c r="B4" i="6"/>
  <c r="A29" i="8"/>
  <c r="B5" i="6"/>
  <c r="D8" i="1"/>
  <c r="D9" i="1"/>
  <c r="B16" i="3"/>
  <c r="C7" i="4"/>
  <c r="C6" i="4"/>
  <c r="C5" i="4"/>
  <c r="C4" i="4"/>
  <c r="C3" i="4"/>
  <c r="B4" i="3"/>
  <c r="B2" i="4"/>
  <c r="C2" i="4"/>
  <c r="B9" i="3"/>
  <c r="B8" i="3"/>
  <c r="D18" i="1"/>
  <c r="D19" i="1"/>
  <c r="D20" i="1"/>
  <c r="D21" i="1"/>
  <c r="D22" i="1"/>
  <c r="B6" i="3"/>
  <c r="D5" i="6"/>
  <c r="D10" i="1"/>
  <c r="D11" i="1"/>
  <c r="D12" i="1"/>
  <c r="D13" i="1"/>
  <c r="D14" i="1"/>
  <c r="D15" i="1"/>
  <c r="D16" i="1"/>
  <c r="D17" i="1"/>
  <c r="B5" i="3"/>
  <c r="D23" i="1"/>
  <c r="D24" i="1"/>
  <c r="D25" i="1"/>
  <c r="D26" i="1"/>
  <c r="D27" i="1"/>
  <c r="B7" i="3"/>
  <c r="D28" i="1"/>
  <c r="D29" i="1"/>
  <c r="D30" i="1"/>
  <c r="D31" i="1"/>
  <c r="D32" i="1"/>
  <c r="B10" i="3"/>
  <c r="D33" i="1"/>
  <c r="D34" i="1"/>
  <c r="D35" i="1"/>
  <c r="D36" i="1"/>
  <c r="D37" i="1"/>
  <c r="F3" i="6"/>
  <c r="F4" i="6"/>
  <c r="B13" i="3"/>
  <c r="D3" i="6"/>
  <c r="D39" i="7"/>
  <c r="D38" i="7"/>
  <c r="D26" i="7"/>
  <c r="D25" i="7"/>
  <c r="C53" i="7"/>
  <c r="E53" i="7"/>
  <c r="C54" i="7"/>
  <c r="E54" i="7"/>
  <c r="C52" i="7"/>
  <c r="E52" i="7"/>
  <c r="C38" i="7"/>
  <c r="E38" i="7"/>
  <c r="C39" i="7"/>
  <c r="E39" i="7"/>
  <c r="D37" i="7"/>
  <c r="C37" i="7"/>
  <c r="E37" i="7"/>
  <c r="C25" i="7"/>
  <c r="E25" i="7"/>
  <c r="C26" i="7"/>
  <c r="E26" i="7"/>
  <c r="D24" i="7"/>
  <c r="C24" i="7"/>
  <c r="E24" i="7"/>
  <c r="B3" i="4"/>
  <c r="C9" i="6"/>
  <c r="B4" i="4"/>
  <c r="C10" i="6"/>
  <c r="B5" i="4"/>
  <c r="C11" i="6"/>
  <c r="B6" i="4"/>
  <c r="C12" i="6"/>
  <c r="B7" i="4"/>
  <c r="C13" i="6"/>
  <c r="C8" i="6"/>
  <c r="B9" i="6"/>
  <c r="B10" i="6"/>
  <c r="B11" i="6"/>
  <c r="B12" i="6"/>
  <c r="B13" i="6"/>
  <c r="B8" i="6"/>
  <c r="F25" i="7"/>
  <c r="F26" i="7"/>
  <c r="F24" i="7"/>
  <c r="F38" i="7"/>
  <c r="F39" i="7"/>
  <c r="F37" i="7"/>
  <c r="B12" i="3"/>
  <c r="C14" i="8"/>
  <c r="C13" i="8"/>
  <c r="D3" i="4"/>
  <c r="D4" i="4"/>
  <c r="D5" i="4"/>
  <c r="D6" i="4"/>
  <c r="D7" i="4"/>
  <c r="D2" i="4"/>
  <c r="C12" i="8"/>
  <c r="C11" i="8"/>
  <c r="D5" i="7"/>
  <c r="D6" i="7"/>
  <c r="D7" i="7"/>
  <c r="B14" i="3"/>
  <c r="D8" i="7"/>
  <c r="D9" i="7"/>
  <c r="D4" i="6"/>
  <c r="B3"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<sst xmlns="http://schemas.openxmlformats.org/spreadsheetml/2006/main" count="340" uniqueCount="251">
  <si>
    <t>Score</t>
  </si>
  <si>
    <t>Dimension</t>
  </si>
  <si>
    <t>Status</t>
  </si>
  <si>
    <t>Maturity Level</t>
  </si>
  <si>
    <t>Current Maturity Level</t>
  </si>
  <si>
    <t>Highest Scoring Dimension</t>
  </si>
  <si>
    <t>Lowest Scoring Dimension</t>
  </si>
  <si>
    <t>Risk Indicator</t>
  </si>
  <si>
    <t>Priority Recommendation</t>
  </si>
  <si>
    <t>Improvement Roadmap</t>
  </si>
  <si>
    <t>Immediate Priorities (0–3 Months)</t>
  </si>
  <si>
    <t>Medium-Term Priorities (3–6 Months)</t>
  </si>
  <si>
    <t>Organisation Name</t>
  </si>
  <si>
    <t>Assessment Date</t>
  </si>
  <si>
    <t>Top 3 Strengths</t>
  </si>
  <si>
    <t>Top 3 Improvement Areas</t>
  </si>
  <si>
    <t>Executive Recommendation</t>
  </si>
  <si>
    <t>Roadmap Summary</t>
  </si>
  <si>
    <t>Purpose</t>
  </si>
  <si>
    <t>Business Unit</t>
  </si>
  <si>
    <t>Assessment Lead</t>
  </si>
  <si>
    <t>Executive Sponsor</t>
  </si>
  <si>
    <t>CHOSEN 
LEVEL</t>
  </si>
  <si>
    <t xml:space="preserve">
TECHNOLOGY &amp; ARCHITECTURE</t>
  </si>
  <si>
    <r>
      <t xml:space="preserve">– </t>
    </r>
    <r>
      <rPr>
        <sz val="14"/>
        <color theme="1"/>
        <rFont val="Century Gothic"/>
        <family val="1"/>
      </rPr>
      <t>1</t>
    </r>
    <r>
      <rPr>
        <sz val="14"/>
        <color theme="0" tint="-0.34998626667073579"/>
        <rFont val="Century Gothic"/>
        <family val="1"/>
      </rPr>
      <t xml:space="preserve"> –</t>
    </r>
  </si>
  <si>
    <r>
      <t xml:space="preserve">– </t>
    </r>
    <r>
      <rPr>
        <sz val="14"/>
        <color theme="1"/>
        <rFont val="Century Gothic"/>
        <family val="1"/>
      </rPr>
      <t>2</t>
    </r>
    <r>
      <rPr>
        <sz val="14"/>
        <color theme="0" tint="-0.34998626667073579"/>
        <rFont val="Century Gothic"/>
        <family val="1"/>
      </rPr>
      <t xml:space="preserve"> –</t>
    </r>
  </si>
  <si>
    <r>
      <t xml:space="preserve">– </t>
    </r>
    <r>
      <rPr>
        <sz val="14"/>
        <color theme="1"/>
        <rFont val="Century Gothic"/>
        <family val="1"/>
      </rPr>
      <t>3</t>
    </r>
    <r>
      <rPr>
        <sz val="14"/>
        <color theme="0" tint="-0.34998626667073579"/>
        <rFont val="Century Gothic"/>
        <family val="1"/>
      </rPr>
      <t xml:space="preserve"> –</t>
    </r>
  </si>
  <si>
    <r>
      <t xml:space="preserve">– </t>
    </r>
    <r>
      <rPr>
        <sz val="14"/>
        <color theme="1"/>
        <rFont val="Century Gothic"/>
        <family val="1"/>
      </rPr>
      <t>4</t>
    </r>
    <r>
      <rPr>
        <sz val="14"/>
        <color theme="0" tint="-0.34998626667073579"/>
        <rFont val="Century Gothic"/>
        <family val="1"/>
      </rPr>
      <t xml:space="preserve"> –</t>
    </r>
  </si>
  <si>
    <r>
      <t xml:space="preserve">– </t>
    </r>
    <r>
      <rPr>
        <sz val="14"/>
        <color theme="1"/>
        <rFont val="Century Gothic"/>
        <family val="1"/>
      </rPr>
      <t>5</t>
    </r>
    <r>
      <rPr>
        <sz val="14"/>
        <color theme="0" tint="-0.34998626667073579"/>
        <rFont val="Century Gothic"/>
        <family val="1"/>
      </rPr>
      <t xml:space="preserve"> –</t>
    </r>
  </si>
  <si>
    <t>Domain</t>
  </si>
  <si>
    <t>Technology &amp; Architecture</t>
  </si>
  <si>
    <t>Risk Rating</t>
  </si>
  <si>
    <t>Assessment Status</t>
  </si>
  <si>
    <t>Instructions &amp; Assessment Guide</t>
  </si>
  <si>
    <t>How to Use This Workbook</t>
  </si>
  <si>
    <t>Step 1 – Complete the Assessment Questionnaire</t>
  </si>
  <si>
    <t>Select the maturity score that best reflects your organisation's current state.</t>
  </si>
  <si>
    <t>Step 2 – Review Automated Scoring</t>
  </si>
  <si>
    <t>The workbook automatically calculates:</t>
  </si>
  <si>
    <t>Step 3 – Review Visualisations</t>
  </si>
  <si>
    <t>The workbook automatically generates:</t>
  </si>
  <si>
    <t>Executive Dashboard</t>
  </si>
  <si>
    <t>Step 4 – Review Recommendations</t>
  </si>
  <si>
    <t>Based on assessment results, the workbook generates:</t>
  </si>
  <si>
    <t>Improvement Priorities</t>
  </si>
  <si>
    <t>Strategic Recommendations</t>
  </si>
  <si>
    <t>Step 5 – Generate Executive Report</t>
  </si>
  <si>
    <t>Key Focus Areas</t>
  </si>
  <si>
    <t>Business Alignment</t>
  </si>
  <si>
    <t>Accountability Structures</t>
  </si>
  <si>
    <t>Regulatory Compliance</t>
  </si>
  <si>
    <t>Privacy Requirements</t>
  </si>
  <si>
    <t>Risk Management</t>
  </si>
  <si>
    <t>Audit and Assurance Processes</t>
  </si>
  <si>
    <t>Value Realisation</t>
  </si>
  <si>
    <t>Each assessment question should be scored using the following maturity scale:</t>
  </si>
  <si>
    <t>Description</t>
  </si>
  <si>
    <t>Assessment Outputs</t>
  </si>
  <si>
    <t>Upon completion, the workbook will automatically generate:</t>
  </si>
  <si>
    <t>Priority Improvement Areas</t>
  </si>
  <si>
    <t>Executive Assessment Report</t>
  </si>
  <si>
    <t>Conclusion</t>
  </si>
  <si>
    <t>DROP-DOWN KEYS</t>
  </si>
  <si>
    <t>CHOSEN LEVEL</t>
  </si>
  <si>
    <t>SCORE</t>
  </si>
  <si>
    <t>Recommendation</t>
  </si>
  <si>
    <t>Priority</t>
  </si>
  <si>
    <t>Domain Recommendation Library</t>
  </si>
  <si>
    <r>
      <t>Trigger:</t>
    </r>
    <r>
      <rPr>
        <sz val="11"/>
        <rFont val="Carlito"/>
      </rPr>
      <t xml:space="preserve"> Domain Score &lt; 3.0</t>
    </r>
  </si>
  <si>
    <t>Strategic Optimisation (6–12 Months)</t>
  </si>
  <si>
    <r>
      <t>Trigger:</t>
    </r>
    <r>
      <rPr>
        <sz val="11"/>
        <rFont val="Carlito"/>
      </rPr>
      <t xml:space="preserve"> Domain Score ≥ 4</t>
    </r>
  </si>
  <si>
    <t>These areas are mature and should focus on optimisation and scale.</t>
  </si>
  <si>
    <r>
      <t>Trigger:</t>
    </r>
    <r>
      <rPr>
        <sz val="11"/>
        <rFont val="Carlito"/>
      </rPr>
      <t xml:space="preserve"> Domain Score between 3.0 and 3.9</t>
    </r>
  </si>
  <si>
    <t>These are developing capabilities requiring formalisation.</t>
  </si>
  <si>
    <t>Roadmap Item</t>
  </si>
  <si>
    <t>Formula</t>
  </si>
  <si>
    <t>Highest Scoring Domain</t>
  </si>
  <si>
    <t>Lowest Scoring Domain</t>
  </si>
  <si>
    <t>Rank</t>
  </si>
  <si>
    <t>Is there an approved Agentic Delivery Strategy?</t>
  </si>
  <si>
    <t>Are agent use cases linked to business outcomes?</t>
  </si>
  <si>
    <t>Are benefits measures defined?</t>
  </si>
  <si>
    <t>Is funding allocated?</t>
  </si>
  <si>
    <t>Is an implementation roadmap defined?</t>
  </si>
  <si>
    <t xml:space="preserve">
GOVERNANCE &amp; RISK</t>
  </si>
  <si>
    <t>Is agent ownership defined?</t>
  </si>
  <si>
    <t>Are governance forums established?</t>
  </si>
  <si>
    <t>Are approval controls documented?</t>
  </si>
  <si>
    <t>Are AI risks assessed?</t>
  </si>
  <si>
    <t>Are escalation paths defined?</t>
  </si>
  <si>
    <t>Human-in-the-Loop Operating Model</t>
  </si>
  <si>
    <t>HUMAN-IN-THE-LOOP OPERATING MODEL</t>
  </si>
  <si>
    <t>Are decision rights documented?</t>
  </si>
  <si>
    <t>Are approval thresholds defined?</t>
  </si>
  <si>
    <t>Are human oversight controls implemented?</t>
  </si>
  <si>
    <t>Are escalation mechanisms established?</t>
  </si>
  <si>
    <t>Are autonomous activities clearly defined?</t>
  </si>
  <si>
    <t xml:space="preserve">
AGENT WORKFORCE DESIGN</t>
  </si>
  <si>
    <t>Have agent roles been identified?</t>
  </si>
  <si>
    <t>Is an agent catalogue established?</t>
  </si>
  <si>
    <t>Are workforce impacts assessed?</t>
  </si>
  <si>
    <t>Are human-agent workflows defined?</t>
  </si>
  <si>
    <t>Are skills requirements understood?</t>
  </si>
  <si>
    <t>Is an agent platform available?</t>
  </si>
  <si>
    <t>Are enterprise integrations supported?</t>
  </si>
  <si>
    <t>Is orchestration capability available?</t>
  </si>
  <si>
    <t>Are security controls implemented?</t>
  </si>
  <si>
    <t>Are monitoring capabilities established?</t>
  </si>
  <si>
    <t xml:space="preserve">
MEASUREMENT &amp; OPTIMISATION</t>
  </si>
  <si>
    <t>Are adoption metrics tracked?</t>
  </si>
  <si>
    <t>Are productivity improvements measured?</t>
  </si>
  <si>
    <t>Are quality metrics monitored?</t>
  </si>
  <si>
    <t>Are benefits tracked?</t>
  </si>
  <si>
    <t>Are optimisation reviews performed?</t>
  </si>
  <si>
    <t>Strategy &amp; Value</t>
  </si>
  <si>
    <t>STRATEGY &amp; VALUE</t>
  </si>
  <si>
    <t>Governance &amp; Risk</t>
  </si>
  <si>
    <t>Human-in-the-Loop</t>
  </si>
  <si>
    <t>Agent Workforce Design</t>
  </si>
  <si>
    <t>Measurement &amp; Optimisation</t>
  </si>
  <si>
    <t>Most Mature Capability</t>
  </si>
  <si>
    <t>Highest Delivery Risk</t>
  </si>
  <si>
    <t>Human Oversight Readiness</t>
  </si>
  <si>
    <t>Develop and approve an Agentic Delivery Strategy and roadmap.</t>
  </si>
  <si>
    <t>Establish KPI framework and benefits realisation dashboard.</t>
  </si>
  <si>
    <t>Implement agent orchestration, monitoring and integration capabilities.</t>
  </si>
  <si>
    <t>Develop agent role catalogue and workforce blueprint.</t>
  </si>
  <si>
    <t>Define decision rights, approvals and escalation controls.</t>
  </si>
  <si>
    <t>Establish Agent Governance Board and accountability model.</t>
  </si>
  <si>
    <t>Agentic Delivery Assessment Report™</t>
  </si>
  <si>
    <t>Agentic Maturity Level</t>
  </si>
  <si>
    <t>AGENTIC DELIVERY READINESS ASSESSMENT™</t>
  </si>
  <si>
    <t>The Agentic Delivery Readiness Assessment™ is designed to help organisations evaluate their readiness to introduce, govern, and scale AI agents across delivery, product, PMO, transformation and operational teams.</t>
  </si>
  <si>
    <t>As organisations increasingly adopt AI agents to augment decision-making, automate delivery activities, improve productivity and accelerate business outcomes, it is essential to establish the governance, operating models, technology capabilities and human oversight required for successful deployment.</t>
  </si>
  <si>
    <t>This assessment provides a structured framework to evaluate organisational readiness for agent-enabled delivery, enabling leaders to identify capability gaps, prioritise investments and develop a roadmap for safe, scalable and value-driven adoption of AI agents.</t>
  </si>
  <si>
    <t>The assessment includes a maturity scoring model that generates readiness scores, risk indicators, recommendations and improvement priorities.</t>
  </si>
  <si>
    <r>
      <t xml:space="preserve">Navigate to the </t>
    </r>
    <r>
      <rPr>
        <b/>
        <sz val="11"/>
        <rFont val="Carlito"/>
      </rPr>
      <t>Agentic Delivery Assessment</t>
    </r>
    <r>
      <rPr>
        <sz val="11"/>
        <rFont val="Carlito"/>
      </rPr>
      <t xml:space="preserve"> worksheet and evaluate each assessment statement using the Agentic Delivery Maturity Model.</t>
    </r>
  </si>
  <si>
    <t>Domain Scores</t>
  </si>
  <si>
    <t>Overall Agentic Delivery Score</t>
  </si>
  <si>
    <t>Agentic Delivery Maturity Level</t>
  </si>
  <si>
    <t>Delivery Risk Indicators</t>
  </si>
  <si>
    <t>Human Oversight Readiness Score</t>
  </si>
  <si>
    <t>Agentic Delivery Heatmap</t>
  </si>
  <si>
    <t>Agentic Delivery Maturity Matrix</t>
  </si>
  <si>
    <t>Agentic Delivery Radar Chart</t>
  </si>
  <si>
    <t>Agentic Delivery Roadmap</t>
  </si>
  <si>
    <r>
      <t xml:space="preserve">Review the </t>
    </r>
    <r>
      <rPr>
        <b/>
        <sz val="11"/>
        <rFont val="Carlito"/>
      </rPr>
      <t>Executive Summary</t>
    </r>
    <r>
      <rPr>
        <sz val="11"/>
        <rFont val="Carlito"/>
      </rPr>
      <t xml:space="preserve"> worksheet to produce a board-ready Agentic Delivery Assessment Report suitable for executive stakeholders.</t>
    </r>
  </si>
  <si>
    <t>Agentic Delivery Framework™</t>
  </si>
  <si>
    <t>The assessment evaluates organisational capability across six critical dimensions required for successful agent-enabled delivery.</t>
  </si>
  <si>
    <t>1. Strategy &amp; Value</t>
  </si>
  <si>
    <t>Evaluates the extent to which AI agents are aligned to business objectives, transformation priorities and measurable outcomes.</t>
  </si>
  <si>
    <t>Agent Strategy</t>
  </si>
  <si>
    <t>Benefits Management</t>
  </si>
  <si>
    <t>Investment Planning</t>
  </si>
  <si>
    <t>Agent Adoption Roadmap</t>
  </si>
  <si>
    <t>2. Governance &amp; Risk</t>
  </si>
  <si>
    <t>Assesses governance structures, accountability models and risk management practices for agent-enabled delivery.</t>
  </si>
  <si>
    <t>Agent Ownership</t>
  </si>
  <si>
    <t>Governance Forums</t>
  </si>
  <si>
    <t>Approval Controls</t>
  </si>
  <si>
    <t>Responsible AI</t>
  </si>
  <si>
    <t>Escalation Processes</t>
  </si>
  <si>
    <t>3. Human-in-the-Loop Operating Model</t>
  </si>
  <si>
    <t>Evaluates the organisation's ability to maintain human accountability while introducing agent autonomy.</t>
  </si>
  <si>
    <t>Human Oversight</t>
  </si>
  <si>
    <t>Decision Rights</t>
  </si>
  <si>
    <t>Approval Frameworks</t>
  </si>
  <si>
    <t>Escalation Controls</t>
  </si>
  <si>
    <t>Autonomous Activity Boundaries</t>
  </si>
  <si>
    <t>4. Agent Workforce Design</t>
  </si>
  <si>
    <t>Assesses how effectively AI agents are integrated into delivery teams and operating models.</t>
  </si>
  <si>
    <t>Agent Role Design</t>
  </si>
  <si>
    <t>Agent Catalogue</t>
  </si>
  <si>
    <t>Workforce Planning</t>
  </si>
  <si>
    <t>Human-Agent Collaboration</t>
  </si>
  <si>
    <t>Skills and Capability Planning</t>
  </si>
  <si>
    <t>Team Design</t>
  </si>
  <si>
    <t>5. Technology &amp; Architecture</t>
  </si>
  <si>
    <t>Evaluates the technology foundations required to support secure and scalable agent deployment.</t>
  </si>
  <si>
    <t>Agent Platforms</t>
  </si>
  <si>
    <t>Agent Orchestration</t>
  </si>
  <si>
    <t>Enterprise Integration</t>
  </si>
  <si>
    <t>Data Access</t>
  </si>
  <si>
    <t>Security Controls</t>
  </si>
  <si>
    <t>Monitoring and Observability</t>
  </si>
  <si>
    <t>6. Measurement &amp; Optimisation</t>
  </si>
  <si>
    <t>Assesses the organisation's ability to measure adoption, performance and value generated by AI agents.</t>
  </si>
  <si>
    <t>Adoption Metrics</t>
  </si>
  <si>
    <t>Productivity Gains</t>
  </si>
  <si>
    <t>Quality Improvements</t>
  </si>
  <si>
    <t>Benefits Realisation</t>
  </si>
  <si>
    <t>KPI Reporting</t>
  </si>
  <si>
    <t>Continuous Improvement</t>
  </si>
  <si>
    <t>Agentic Delivery Maturity Model™</t>
  </si>
  <si>
    <t>Assisted Delivery</t>
  </si>
  <si>
    <t>Individuals use AI tools for productivity with minimal governance.</t>
  </si>
  <si>
    <t>Coordinated Agents</t>
  </si>
  <si>
    <t>Agents support team activities through isolated use cases.</t>
  </si>
  <si>
    <t>Governed Agentic Delivery</t>
  </si>
  <si>
    <t>Governance, oversight and operating models are established.</t>
  </si>
  <si>
    <t>Scaled Agent Workforce</t>
  </si>
  <si>
    <t>Agents are embedded across delivery functions and teams.</t>
  </si>
  <si>
    <t>Autonomous Enterprise Delivery</t>
  </si>
  <si>
    <t>Human-agent ecosystems operate at scale with continuous optimisation.</t>
  </si>
  <si>
    <t>Domain-Level Scores</t>
  </si>
  <si>
    <t>Regularly conducting an Agentic Delivery Readiness Assessment enables organisations to evaluate their preparedness for agent-enabled delivery, identify capability gaps, strengthen governance and maintain human accountability while scaling AI agents across the enterprise.</t>
  </si>
  <si>
    <t>The insights generated from this assessment should be used to develop practical improvement plans, mature operating models, strengthen governance frameworks and accelerate the organisation's journey toward safe, scalable and value-driven Agentic Delivery.</t>
  </si>
  <si>
    <t>Agentic Delivery Index</t>
  </si>
  <si>
    <t>AGENTIC DELIVERY READINESS ASSESSMENT</t>
  </si>
  <si>
    <t>Assisted Delivery (1)</t>
  </si>
  <si>
    <t>Coordinated Agents (2)</t>
  </si>
  <si>
    <t>Governed Agentic Delivery (3)</t>
  </si>
  <si>
    <t>Scaled Agent Workforce (4)</t>
  </si>
  <si>
    <t>Autonomous Enterprise Delivery (5)</t>
  </si>
  <si>
    <t>No formal Agentic Delivery strategy exists. AI agents are used opportunistically with no clear business objectives.</t>
  </si>
  <si>
    <t>Agent opportunities are being explored and discussed. Initial use cases are emerging.</t>
  </si>
  <si>
    <t>Agent strategy is defined and aligned to business objectives. Priority use cases and expected outcomes are identified.</t>
  </si>
  <si>
    <t>Agent strategy is approved, funded and actively managed. Benefits and value realisation are measured.</t>
  </si>
  <si>
    <t>Agent strategy is embedded into enterprise planning and continuously optimised based on business outcomes and value delivered.</t>
  </si>
  <si>
    <t>Governance, accountability and risk management for AI agents are largely undefined.</t>
  </si>
  <si>
    <t>Initial governance discussions are taking place and ownership is emerging.</t>
  </si>
  <si>
    <t>Governance structures, approval processes and risk controls are established for agent deployment.</t>
  </si>
  <si>
    <t>Governance is consistently applied across delivery teams with active executive oversight and risk monitoring.</t>
  </si>
  <si>
    <t>Governance is fully integrated into enterprise operations with continuous assurance, compliance monitoring and optimisation.</t>
  </si>
  <si>
    <t>Human accountability, oversight and autonomous decision boundaries are optimised and continuously refined.</t>
  </si>
  <si>
    <t>Human-agent collaboration is embedded within delivery processes and monitored through defined controls.</t>
  </si>
  <si>
    <t>Human oversight, approval thresholds and escalation processes are documented and understood.</t>
  </si>
  <si>
    <t>Some human review activities exist, but controls are inconsistent.</t>
  </si>
  <si>
    <t>Human oversight responsibilities are undefined. Agent decision-making boundaries are unclear.</t>
  </si>
  <si>
    <t>Agent roles and workforce impacts have not been assessed.</t>
  </si>
  <si>
    <t>Initial agent roles and use cases are being explored within selected teams.</t>
  </si>
  <si>
    <t>Agent roles, responsibilities and workforce implications are defined and documented.</t>
  </si>
  <si>
    <t>Agents are embedded into delivery teams with clear operating models, role definitions and capability plans.</t>
  </si>
  <si>
    <t>Human-agent ecosystems operate effectively across the enterprise with continuous workforce optimisation.</t>
  </si>
  <si>
    <t>Technology platforms and infrastructure are not prepared to support AI agents.</t>
  </si>
  <si>
    <t>Limited technology capabilities support isolated agent experimentation.</t>
  </si>
  <si>
    <t>Agent platforms, integrations and security controls are established for controlled deployment.</t>
  </si>
  <si>
    <t>Scalable and secure architecture supports agent deployment across multiple teams and business functions.</t>
  </si>
  <si>
    <t>Enterprise-wide agent platforms, orchestration and automation capabilities support large-scale autonomous delivery.</t>
  </si>
  <si>
    <t>Agent performance and value are not measured.</t>
  </si>
  <si>
    <t>Basic adoption and usage metrics are collected.</t>
  </si>
  <si>
    <t>Performance, productivity and value metrics are defined and regularly monitored.</t>
  </si>
  <si>
    <t>Benefits realisation, operational performance and adoption are actively managed and reported.</t>
  </si>
  <si>
    <t>Continuous optimisation is driven by advanced analytics, value realisation and performance improvement across the agent ecosystem.</t>
  </si>
  <si>
    <t>Agentic Delivery Index (/100)</t>
  </si>
  <si>
    <t>Agentic Delivery Scoring Engine</t>
  </si>
  <si>
    <t>These are capability gaps that present a significant risk to Agentic delivery adoption.</t>
  </si>
  <si>
    <t>Executive Dashboard | Agentic Delivery Assessment Workbook™</t>
  </si>
  <si>
    <t>Evaluate each statement using the Agentic Delivery Maturity Scale (1–5) and select the level that best reflects your organisation's current capability.</t>
  </si>
  <si>
    <t>Human Oversight Maturity</t>
  </si>
  <si>
    <t>ASSESSMENT INSTRUCTIONS
For each assessment statement, select the maturity score that best reflects your organisation's current level of readiness for introducing, governing and scaling AI agents across delivery teams.
Score each question using the Agentic Delivery Maturity Model™ below.
Select the score that most accurately represents your organisation's current capabilities and operating practices rather than future aspirations or planned initiatives.
Where evidence is limited, inconsistent or informal, select the lower maturity score.
Assessment responses should be based on documented processes, established governance, measurable outcomes and demonstrable organisational capability.
AGENTIC DELIVERY MATURITY SCORING MODEL
Score	          Maturity Level	                                       Description
1	                 Assisted Delivery	                                     Individuals use AI tools to support personal productivity. Agent usage is informal, isolated and largely unmanaged. Governance, oversight and operating models are limited or non-existent.
2	                 Coordinated Agents	                             AI agents support specific team activities and delivery processes. Early use cases exist, but adoption remains fragmented with limited governance and oversight.
3	                 Governed Agentic Delivery	               Governance structures, operating models and human oversight mechanisms are established. AI agents are deployed in controlled environments with defined accountability and measurable outcomes.
4	                 Scaled Agent Workforce	                     AI agents are embedded across delivery functions and teams. Standardised governance, workforce design and performance management practices support consistent adoption and value realisation
5	                 Autonomous Enterprise Delivery	        Human-agent ecosystems operate at scale across the enterprise. AI agents are strategically integrated into delivery operations with continuous optimisation, measurable business value and mature governance controls.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</si>
</sst>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0.0"/>
  </numFmts>
  <fonts count="45">
    <font>
      <sz val="11"/>
      <name val="Carlito"/>
    </font>
    <font>
      <sz val="10"/>
      <color rgb="FF0B1F3A"/>
      <name val="Aptos"/>
      <family val="2"/>
    </font>
    <font>
      <b/>
      <sz val="16"/>
      <color rgb="FFFFFFFF"/>
      <name val="Carlito"/>
    </font>
    <font>
      <b/>
      <sz val="11"/>
      <color rgb="FF07111F"/>
      <name val="Carlito"/>
    </font>
    <font>
      <b/>
      <sz val="11"/>
      <color rgb="FFFFFFFF"/>
      <name val="Carlito"/>
    </font>
    <font>
      <b/>
      <sz val="10"/>
      <color theme="0"/>
      <name val="Aptos"/>
      <family val="2"/>
    </font>
    <font>
      <sz val="10"/>
      <color theme="0"/>
      <name val="Aptos"/>
      <family val="2"/>
    </font>
    <font>
      <sz val="11"/>
      <color theme="0"/>
      <name val="Carlito"/>
    </font>
    <font>
      <b/>
      <sz val="24"/>
      <name val="Carlito"/>
    </font>
    <font>
      <sz val="10"/>
      <color theme="1"/>
      <name val="Century Gothic"/>
      <family val="2"/>
    </font>
    <font>
      <b/>
      <sz val="24"/>
      <color rgb="FF595959"/>
      <name val="Century Gothic"/>
      <family val="2"/>
    </font>
    <font>
      <sz val="12"/>
      <color rgb="FF000000"/>
      <name val="Calibri"/>
      <family val="2"/>
    </font>
    <font>
      <b/>
      <sz val="22"/>
      <color rgb="FF595959"/>
      <name val="Century Gothic"/>
      <family val="2"/>
    </font>
    <font>
      <sz val="12"/>
      <color theme="1"/>
      <name val="Century Gothic"/>
      <family val="2"/>
    </font>
    <font>
      <sz val="10"/>
      <color rgb="FF000000"/>
      <name val="Century Gothic"/>
      <family val="2"/>
    </font>
    <font>
      <b/>
      <sz val="10"/>
      <color rgb="FF000000"/>
      <name val="Century Gothic"/>
      <family val="2"/>
    </font>
    <font>
      <b/>
      <sz val="10"/>
      <color theme="1"/>
      <name val="Century Gothic"/>
      <family val="2"/>
    </font>
    <font>
      <sz val="12"/>
      <color rgb="FF000000"/>
      <name val="Source Sans Pro"/>
      <family val="2"/>
    </font>
    <font>
      <sz val="14"/>
      <color theme="1"/>
      <name val="Century Gothic"/>
      <family val="2"/>
    </font>
    <font>
      <sz val="9"/>
      <color theme="1"/>
      <name val="Century Gothic"/>
      <family val="2"/>
    </font>
    <font>
      <sz val="14"/>
      <color theme="0" tint="-0.34998626667073579"/>
      <name val="Century Gothic"/>
      <family val="2"/>
    </font>
    <font>
      <sz val="14"/>
      <color theme="1"/>
      <name val="Century Gothic"/>
      <family val="1"/>
    </font>
    <font>
      <sz val="14"/>
      <color theme="0" tint="-0.34998626667073579"/>
      <name val="Century Gothic"/>
      <family val="1"/>
    </font>
    <font>
      <sz val="11"/>
      <color theme="1"/>
      <name val="Century Gothic"/>
      <family val="2"/>
    </font>
    <font>
      <b/>
      <sz val="12"/>
      <color rgb="FF000000"/>
      <name val="Calibri"/>
      <family val="2"/>
    </font>
    <font>
      <b/>
      <sz val="14"/>
      <color rgb="FFFFFFFF"/>
      <name val="Calibri"/>
      <family val="2"/>
    </font>
    <font>
      <b/>
      <sz val="12"/>
      <color rgb="FFFFFFFF"/>
      <name val="Calibri"/>
      <family val="2"/>
    </font>
    <font>
      <b/>
      <sz val="12"/>
      <color theme="0"/>
      <name val="Calibri"/>
      <family val="2"/>
    </font>
    <font>
      <sz val="12"/>
      <color theme="1"/>
      <name val="Calibri"/>
      <family val="2"/>
    </font>
    <font>
      <sz val="22"/>
      <color theme="1" tint="0.34998626667073579"/>
      <name val="Century Gothic"/>
      <family val="2"/>
    </font>
    <font>
      <b/>
      <sz val="20"/>
      <color theme="0" tint="-0.49995422223578601"/>
      <name val="Century Gothic"/>
      <family val="2"/>
    </font>
    <font>
      <sz val="12"/>
      <color rgb="FF000000"/>
      <name val="Century Gothic"/>
      <family val="2"/>
    </font>
    <font>
      <sz val="12"/>
      <color indexed="8"/>
      <name val="Century Gothic"/>
      <family val="2"/>
    </font>
    <font>
      <sz val="11"/>
      <color indexed="8"/>
      <name val="Century Gothic"/>
      <family val="2"/>
    </font>
    <font>
      <sz val="11"/>
      <color theme="0" tint="-0.14999847407452621"/>
      <name val="Century Gothic"/>
      <family val="2"/>
    </font>
    <font>
      <b/>
      <sz val="11"/>
      <name val="Carlito"/>
    </font>
    <font>
      <sz val="10"/>
      <name val="Arial Unicode MS"/>
      <family val="2"/>
    </font>
    <font>
      <sz val="12"/>
      <name val="Carlito"/>
    </font>
    <font>
      <b/>
      <sz val="10"/>
      <color theme="2"/>
      <name val="Aptos"/>
      <family val="2"/>
    </font>
    <font>
      <sz val="11"/>
      <color theme="2"/>
      <name val="Carlito"/>
    </font>
    <font>
      <sz val="10"/>
      <color theme="2"/>
      <name val="Aptos"/>
      <family val="2"/>
    </font>
    <font>
      <sz val="11"/>
      <name val="Carlito"/>
    </font>
    <font>
      <b/>
      <sz val="24"/>
      <color rgb="FFFFFFFF"/>
      <name val="Carlito"/>
    </font>
    <font>
      <b/>
      <sz val="18"/>
      <name val="Carlito"/>
    </font>
    <font>
      <b/>
      <sz val="13.5"/>
      <name val="Carlito"/>
    </font>
  </fonts>
  <fills count="23">
    <fill>
      <patternFill patternType="none"/>
    </fill>
    <fill>
      <patternFill patternType="gray125"/>
    </fill>
    <fill>
      <patternFill patternType="solid">
        <fgColor rgb="FF0B1F3A"/>
      </patternFill>
    </fill>
    <fill>
      <patternFill patternType="solid">
        <fgColor rgb="FFF8FAFC"/>
      </patternFill>
    </fill>
    <fill>
      <patternFill patternType="solid">
        <fgColor rgb="FFF1F5F9"/>
      </patternFill>
    </fill>
    <fill>
      <patternFill patternType="solid">
        <fgColor rgb="FF07111F"/>
      </patternFill>
    </fill>
    <fill>
      <patternFill patternType="solid">
        <fgColor rgb="FF22D3EE"/>
      </patternFill>
    </fill>
    <fill>
      <patternFill patternType="solid">
        <fgColor rgb="FF334155"/>
      </patternFill>
    </fill>
    <fill>
      <patternFill patternType="solid">
        <fgColor theme="7" tint="0.39997558519241921"/>
        <bgColor indexed="65"/>
      </patternFill>
    </fill>
    <fill>
      <patternFill patternType="solid">
        <fgColor theme="0"/>
      </patternFill>
    </fill>
    <fill>
      <patternFill patternType="solid">
        <fgColor theme="0" tint="-4.9989318521683403E-2"/>
        <bgColor indexed="65"/>
      </patternFill>
    </fill>
    <fill>
      <patternFill patternType="solid">
        <fgColor theme="0" tint="-0.14999847407452621"/>
        <bgColor indexed="65"/>
      </patternFill>
    </fill>
    <fill>
      <patternFill patternType="solid">
        <fgColor rgb="FFF87853"/>
      </patternFill>
    </fill>
    <fill>
      <patternFill patternType="solid">
        <fgColor rgb="FFF8AE58"/>
      </patternFill>
    </fill>
    <fill>
      <patternFill patternType="solid">
        <fgColor rgb="FFC5F894"/>
      </patternFill>
    </fill>
    <fill>
      <patternFill patternType="solid">
        <fgColor rgb="FF88F8EB"/>
      </patternFill>
    </fill>
    <fill>
      <patternFill patternType="solid">
        <fgColor theme="3" tint="0.79995117038483843"/>
        <bgColor indexed="65"/>
      </patternFill>
    </fill>
    <fill>
      <patternFill patternType="solid">
        <fgColor rgb="FFEAEEF3"/>
      </patternFill>
    </fill>
    <fill>
      <patternFill patternType="solid">
        <fgColor rgb="FFF7F9FB"/>
      </patternFill>
    </fill>
    <fill>
      <patternFill patternType="solid">
        <fgColor rgb="FF4A5568"/>
      </patternFill>
    </fill>
    <fill>
      <patternFill patternType="solid">
        <fgColor rgb="FF92D050"/>
        <bgColor indexed="64"/>
      </patternFill>
    </fill>
    <fill>
      <patternFill patternType="solid">
        <fgColor theme="0"/>
        <bgColor indexed="64"/>
      </patternFill>
    </fill>
    <fill>
      <patternFill patternType="solid">
        <fgColor theme="3" tint="0.249977111117893"/>
        <bgColor indexed="64"/>
      </patternFill>
    </fill>
  </fills>
  <borders count="36">
    <border>
      <left/>
      <right/>
      <top/>
      <bottom/>
      <diagonal/>
    </border>
    <border>
      <left/>
      <right/>
      <top/>
      <bottom/>
      <diagonal/>
    </border>
    <border>
      <left style="thin">
        <color rgb="FFCBD5E1"/>
      </left>
      <right style="thin">
        <color rgb="FFCBD5E1"/>
      </right>
      <top style="thin">
        <color rgb="FFCBD5E1"/>
      </top>
      <bottom style="thin">
        <color rgb="FFCBD5E1"/>
      </bottom>
      <diagonal/>
    </border>
    <border>
      <left style="thin">
        <color rgb="FFBFBFBF"/>
      </left>
      <right/>
      <top style="thin">
        <color rgb="FFBFBFBF"/>
      </top>
      <bottom style="medium">
        <color rgb="FFBFBFBF"/>
      </bottom>
      <diagonal/>
    </border>
    <border>
      <left/>
      <right style="thin">
        <color rgb="FFBFBFBF"/>
      </right>
      <top style="thin">
        <color rgb="FFBFBFBF"/>
      </top>
      <bottom style="medium">
        <color rgb="FFBFBFBF"/>
      </bottom>
      <diagonal/>
    </border>
    <border>
      <left style="thin">
        <color theme="0" tint="-0.249977111117893"/>
      </left>
      <right style="thin">
        <color rgb="FFBFBFBF"/>
      </right>
      <top style="medium">
        <color theme="0" tint="-0.249977111117893"/>
      </top>
      <bottom/>
      <diagonal/>
    </border>
    <border>
      <left style="thin">
        <color rgb="FFBFBFBF"/>
      </left>
      <right style="thin">
        <color rgb="FFBFBFBF"/>
      </right>
      <top style="medium">
        <color theme="0" tint="-0.249977111117893"/>
      </top>
      <bottom/>
      <diagonal/>
    </border>
    <border>
      <left/>
      <right/>
      <top/>
      <bottom style="medium">
        <color rgb="FFBFBFBF"/>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BFBFBF"/>
      </left>
      <right style="thin">
        <color rgb="FFBFBFBF"/>
      </right>
      <top/>
      <bottom/>
      <diagonal/>
    </border>
    <border>
      <left style="thin">
        <color rgb="FFBFBFBF"/>
      </left>
      <right style="thin">
        <color rgb="FFBFBFBF"/>
      </right>
      <top style="medium">
        <color rgb="FFBFBFBF"/>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style="medium">
        <color theme="0" tint="-0.249977111117893"/>
      </top>
      <bottom style="thin">
        <color rgb="FFBFBFBF"/>
      </bottom>
      <diagonal/>
    </border>
    <border>
      <left style="thin">
        <color rgb="FFBFBFBF"/>
      </left>
      <right style="thin">
        <color rgb="FFBFBFBF"/>
      </right>
      <top style="thin">
        <color rgb="FFBFBFBF"/>
      </top>
      <bottom style="thin">
        <color theme="0" tint="-0.249977111117893"/>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249977111117893"/>
      </left>
      <right style="thin">
        <color theme="0" tint="-0.249977111117893"/>
      </right>
      <top style="thick">
        <color theme="0" tint="-0.249977111117893"/>
      </top>
      <bottom/>
      <diagonal/>
    </border>
    <border>
      <left style="dashed">
        <color theme="0" tint="-0.249977111117893"/>
      </left>
      <right style="dashed">
        <color theme="0" tint="-0.249977111117893"/>
      </right>
      <top style="dashed">
        <color theme="0" tint="-0.249977111117893"/>
      </top>
      <bottom style="dashed">
        <color theme="0" tint="-0.249977111117893"/>
      </bottom>
      <diagonal/>
    </border>
    <border>
      <left style="medium">
        <color theme="0" tint="-0.34998626667073579"/>
      </left>
      <right/>
      <top style="medium">
        <color theme="0" tint="-0.34998626667073579"/>
      </top>
      <bottom/>
      <diagonal/>
    </border>
    <border>
      <left/>
      <right style="medium">
        <color theme="0" tint="-0.34998626667073579"/>
      </right>
      <top style="medium">
        <color theme="0" tint="-0.34998626667073579"/>
      </top>
      <bottom/>
      <diagonal/>
    </border>
    <border>
      <left/>
      <right style="medium">
        <color theme="0" tint="-0.34998626667073579"/>
      </right>
      <top/>
      <bottom/>
      <diagonal/>
    </border>
    <border>
      <left style="medium">
        <color theme="0" tint="-0.34998626667073579"/>
      </left>
      <right/>
      <top/>
      <bottom style="medium">
        <color theme="0" tint="-0.34998626667073579"/>
      </bottom>
      <diagonal/>
    </border>
    <border>
      <left/>
      <right style="medium">
        <color theme="0" tint="-0.34998626667073579"/>
      </right>
      <top/>
      <bottom style="medium">
        <color theme="0" tint="-0.34998626667073579"/>
      </bottom>
      <diagonal/>
    </border>
    <border>
      <left style="medium">
        <color theme="0" tint="-0.34998626667073579"/>
      </left>
      <right style="medium">
        <color theme="0" tint="-0.34998626667073579"/>
      </right>
      <top style="medium">
        <color theme="0" tint="-0.34998626667073579"/>
      </top>
      <bottom/>
      <diagonal/>
    </border>
    <border>
      <left style="medium">
        <color theme="0" tint="-0.34998626667073579"/>
      </left>
      <right style="medium">
        <color theme="0" tint="-0.34998626667073579"/>
      </right>
      <top/>
      <bottom/>
      <diagonal/>
    </border>
    <border>
      <left style="medium">
        <color theme="0" tint="-0.34998626667073579"/>
      </left>
      <right style="medium">
        <color theme="0" tint="-0.34998626667073579"/>
      </right>
      <top/>
      <bottom style="medium">
        <color theme="0" tint="-0.34998626667073579"/>
      </bottom>
      <diagonal/>
    </border>
    <border>
      <left/>
      <right/>
      <top style="medium">
        <color theme="0" tint="-0.34998626667073579"/>
      </top>
      <bottom/>
      <diagonal/>
    </border>
    <border>
      <left/>
      <right/>
      <top/>
      <bottom style="medium">
        <color theme="0" tint="-0.34998626667073579"/>
      </bottom>
      <diagonal/>
    </border>
    <border>
      <left style="thin">
        <color rgb="FFCBD5E1"/>
      </left>
      <right/>
      <top style="thin">
        <color rgb="FFCBD5E1"/>
      </top>
      <bottom/>
      <diagonal/>
    </border>
    <border>
      <left/>
      <right/>
      <top style="thin">
        <color rgb="FFCBD5E1"/>
      </top>
      <bottom/>
      <diagonal/>
    </border>
  </borders>
  <cellStyleXfs count="3">
    <xf numFmtId="0" fontId="0" fillId="0" borderId="1"/>
    <xf numFmtId="0" fontId="28" fillId="0" borderId="1"/>
    <xf numFmtId="9" fontId="41" fillId="0" borderId="0" applyFont="0" applyFill="0" applyBorder="0" applyAlignment="0" applyProtection="0"/>
  </cellStyleXfs>
  <cellXfs count="141">
    <xf numFmtId="0" fontId="0" fillId="0" borderId="0" xfId="0" applyBorder="1"/>
    <xf numFmtId="0" fontId="0" fillId="0" borderId="1" xfId="0"/>
    <xf numFmtId="0" fontId="1" fillId="0" borderId="0" xfId="0" applyFont="1" applyBorder="1"/>
    <xf numFmtId="0" fontId="3" fillId="6" borderId="2" xfId="0" applyFont="1" applyFill="1" applyBorder="1"/>
    <xf numFmtId="0" fontId="1" fillId="0" borderId="2" xfId="0" applyFont="1" applyBorder="1"/>
    <xf numFmtId="0" fontId="4" fillId="7" borderId="2" xfId="0" applyFont="1" applyFill="1" applyBorder="1"/>
    <xf numFmtId="0" fontId="4" fillId="7" borderId="2" xfId="0" applyFont="1" applyFill="1" applyBorder="1" applyAlignment="1">
      <alignment wrapText="1"/>
    </xf>
    <xf numFmtId="0" fontId="5" fillId="2" borderId="2" xfId="0" applyFont="1" applyFill="1" applyBorder="1" applyAlignment="1">
      <alignment horizontal="center" vertical="center"/>
    </xf>
    <xf numFmtId="0" fontId="6" fillId="0" borderId="0" xfId="0" applyFont="1" applyBorder="1"/>
    <xf numFmtId="0" fontId="7" fillId="0" borderId="0" xfId="0" applyFont="1" applyBorder="1"/>
    <xf numFmtId="0" fontId="1" fillId="0" borderId="1" xfId="0" applyFont="1"/>
    <xf numFmtId="0" fontId="8" fillId="0" borderId="0" xfId="0" applyFont="1" applyBorder="1" applyAlignment="1">
      <alignment vertical="center"/>
    </xf>
    <xf numFmtId="0" fontId="9" fillId="9" borderId="1" xfId="0" applyFont="1" applyFill="1" applyAlignment="1">
      <alignment wrapText="1"/>
    </xf>
    <xf numFmtId="0" fontId="10" fillId="9" borderId="1" xfId="0" applyFont="1" applyFill="1" applyAlignment="1">
      <alignment vertical="center"/>
    </xf>
    <xf numFmtId="0" fontId="11" fillId="0" borderId="1" xfId="0" applyFont="1"/>
    <xf numFmtId="0" fontId="12" fillId="0" borderId="1" xfId="0" applyFont="1" applyAlignment="1">
      <alignment vertical="center"/>
    </xf>
    <xf numFmtId="0" fontId="9" fillId="0" borderId="1" xfId="0" applyFont="1" applyAlignment="1">
      <alignment wrapText="1"/>
    </xf>
    <xf numFmtId="0" fontId="14" fillId="0" borderId="1" xfId="0" applyFont="1" applyAlignment="1">
      <alignment vertical="center" wrapText="1"/>
    </xf>
    <xf numFmtId="0" fontId="13" fillId="0" borderId="1" xfId="0" applyFont="1" applyAlignment="1">
      <alignment vertical="center"/>
    </xf>
    <xf numFmtId="0" fontId="9" fillId="0" borderId="1" xfId="0" applyFont="1" applyAlignment="1">
      <alignment vertical="center"/>
    </xf>
    <xf numFmtId="0" fontId="9" fillId="0" borderId="1" xfId="0" applyFont="1" applyAlignment="1">
      <alignment horizontal="left" vertical="center"/>
    </xf>
    <xf numFmtId="0" fontId="14" fillId="0" borderId="1" xfId="0" applyFont="1" applyAlignment="1">
      <alignment vertical="center"/>
    </xf>
    <xf numFmtId="0" fontId="13" fillId="10" borderId="3" xfId="0" applyFont="1" applyFill="1" applyBorder="1" applyAlignment="1">
      <alignment vertical="center" wrapText="1"/>
    </xf>
    <xf numFmtId="164" fontId="13" fillId="10" borderId="4" xfId="0" applyNumberFormat="1" applyFont="1" applyFill="1" applyBorder="1" applyAlignment="1">
      <alignment vertical="center"/>
    </xf>
    <xf numFmtId="164" fontId="13" fillId="10" borderId="4" xfId="0" applyNumberFormat="1" applyFont="1" applyFill="1" applyBorder="1" applyAlignment="1">
      <alignment vertical="center" wrapText="1"/>
    </xf>
    <xf numFmtId="0" fontId="15" fillId="0" borderId="1" xfId="0" applyFont="1" applyAlignment="1">
      <alignment vertical="center"/>
    </xf>
    <xf numFmtId="0" fontId="16" fillId="0" borderId="1" xfId="0" applyFont="1" applyAlignment="1">
      <alignment vertical="center"/>
    </xf>
    <xf numFmtId="0" fontId="9" fillId="0" borderId="1" xfId="0" applyFont="1" applyAlignment="1">
      <alignment horizontal="center" vertical="center"/>
    </xf>
    <xf numFmtId="0" fontId="17" fillId="0" borderId="1" xfId="0" applyFont="1"/>
    <xf numFmtId="0" fontId="9" fillId="0" borderId="1" xfId="0" applyFont="1"/>
    <xf numFmtId="0" fontId="9" fillId="11" borderId="5" xfId="0" applyFont="1" applyFill="1" applyBorder="1" applyAlignment="1">
      <alignment horizontal="center" vertical="center" wrapText="1"/>
    </xf>
    <xf numFmtId="0" fontId="13" fillId="12" borderId="6" xfId="0" applyFont="1" applyFill="1" applyBorder="1" applyAlignment="1">
      <alignment horizontal="center" vertical="center" wrapText="1"/>
    </xf>
    <xf numFmtId="0" fontId="13" fillId="13" borderId="6" xfId="0" applyFont="1" applyFill="1" applyBorder="1" applyAlignment="1">
      <alignment horizontal="center" vertical="center" wrapText="1"/>
    </xf>
    <xf numFmtId="0" fontId="13" fillId="8" borderId="6" xfId="0" applyFont="1" applyFill="1" applyBorder="1" applyAlignment="1">
      <alignment horizontal="center" vertical="center" wrapText="1"/>
    </xf>
    <xf numFmtId="0" fontId="13" fillId="14" borderId="6" xfId="0" applyFont="1" applyFill="1" applyBorder="1" applyAlignment="1">
      <alignment horizontal="center" vertical="center" wrapText="1"/>
    </xf>
    <xf numFmtId="0" fontId="13" fillId="15" borderId="6" xfId="0" applyFont="1" applyFill="1" applyBorder="1" applyAlignment="1">
      <alignment horizontal="center" vertical="center" wrapText="1"/>
    </xf>
    <xf numFmtId="0" fontId="18" fillId="0" borderId="7" xfId="0" applyFont="1" applyBorder="1" applyAlignment="1">
      <alignment vertical="top" wrapText="1"/>
    </xf>
    <xf numFmtId="0" fontId="19" fillId="11" borderId="8" xfId="0" applyFont="1" applyFill="1" applyBorder="1" applyAlignment="1">
      <alignment horizontal="center" vertical="center" wrapText="1"/>
    </xf>
    <xf numFmtId="49" fontId="20" fillId="0" borderId="8" xfId="0" applyNumberFormat="1" applyFont="1" applyBorder="1" applyAlignment="1">
      <alignment horizontal="center" vertical="center"/>
    </xf>
    <xf numFmtId="0" fontId="23" fillId="17" borderId="10" xfId="0" applyFont="1" applyFill="1" applyBorder="1" applyAlignment="1">
      <alignment horizontal="left" vertical="center" wrapText="1"/>
    </xf>
    <xf numFmtId="0" fontId="13" fillId="18" borderId="11" xfId="0" applyFont="1" applyFill="1" applyBorder="1" applyAlignment="1">
      <alignment horizontal="center" vertical="center" wrapText="1"/>
    </xf>
    <xf numFmtId="0" fontId="13" fillId="0" borderId="11" xfId="0" applyFont="1" applyBorder="1" applyAlignment="1">
      <alignment horizontal="center" vertical="center"/>
    </xf>
    <xf numFmtId="0" fontId="23" fillId="17" borderId="12" xfId="0" applyFont="1" applyFill="1" applyBorder="1" applyAlignment="1">
      <alignment horizontal="left" vertical="center" wrapText="1"/>
    </xf>
    <xf numFmtId="0" fontId="13" fillId="18" borderId="12" xfId="0" applyFont="1" applyFill="1" applyBorder="1" applyAlignment="1">
      <alignment horizontal="center" vertical="center" wrapText="1"/>
    </xf>
    <xf numFmtId="0" fontId="13" fillId="0" borderId="12" xfId="0" applyFont="1" applyBorder="1" applyAlignment="1">
      <alignment horizontal="center" vertical="center"/>
    </xf>
    <xf numFmtId="0" fontId="23" fillId="17" borderId="11" xfId="0" applyFont="1" applyFill="1" applyBorder="1" applyAlignment="1">
      <alignment horizontal="left" vertical="center" wrapText="1"/>
    </xf>
    <xf numFmtId="0" fontId="13" fillId="18" borderId="10" xfId="0" applyFont="1" applyFill="1" applyBorder="1" applyAlignment="1">
      <alignment horizontal="center" vertical="center" wrapText="1"/>
    </xf>
    <xf numFmtId="0" fontId="13" fillId="0" borderId="10" xfId="0" applyFont="1" applyBorder="1" applyAlignment="1">
      <alignment horizontal="center" vertical="center"/>
    </xf>
    <xf numFmtId="0" fontId="23" fillId="17" borderId="14" xfId="0" applyFont="1" applyFill="1" applyBorder="1" applyAlignment="1">
      <alignment horizontal="left" vertical="center" wrapText="1"/>
    </xf>
    <xf numFmtId="0" fontId="23" fillId="17" borderId="15" xfId="0" applyFont="1" applyFill="1" applyBorder="1" applyAlignment="1">
      <alignment horizontal="left" vertical="center" wrapText="1"/>
    </xf>
    <xf numFmtId="0" fontId="24" fillId="0" borderId="8" xfId="0" applyFont="1" applyBorder="1" applyAlignment="1">
      <alignment horizontal="center" vertical="center" wrapText="1"/>
    </xf>
    <xf numFmtId="0" fontId="11" fillId="0" borderId="8" xfId="0" applyFont="1" applyBorder="1" applyAlignment="1">
      <alignment vertical="center" wrapText="1"/>
    </xf>
    <xf numFmtId="0" fontId="26" fillId="19" borderId="8" xfId="0" applyFont="1" applyFill="1" applyBorder="1" applyAlignment="1">
      <alignment horizontal="center" vertical="center" wrapText="1"/>
    </xf>
    <xf numFmtId="0" fontId="0" fillId="0" borderId="16" xfId="0" applyBorder="1" applyAlignment="1">
      <alignment vertical="center" wrapText="1"/>
    </xf>
    <xf numFmtId="2" fontId="24" fillId="0" borderId="17" xfId="0" applyNumberFormat="1" applyFont="1" applyBorder="1" applyAlignment="1">
      <alignment horizontal="center" vertical="center" wrapText="1"/>
    </xf>
    <xf numFmtId="0" fontId="0" fillId="0" borderId="18" xfId="0" applyBorder="1" applyAlignment="1">
      <alignment vertical="center" wrapText="1"/>
    </xf>
    <xf numFmtId="2" fontId="24" fillId="0" borderId="19" xfId="0" applyNumberFormat="1" applyFont="1" applyBorder="1" applyAlignment="1">
      <alignment horizontal="center" vertical="center" wrapText="1"/>
    </xf>
    <xf numFmtId="165" fontId="24" fillId="0" borderId="19" xfId="0" applyNumberFormat="1" applyFont="1" applyBorder="1" applyAlignment="1">
      <alignment horizontal="center" vertical="center" wrapText="1"/>
    </xf>
    <xf numFmtId="0" fontId="0" fillId="0" borderId="18" xfId="0" applyBorder="1"/>
    <xf numFmtId="0" fontId="0" fillId="0" borderId="20" xfId="0" applyBorder="1"/>
    <xf numFmtId="2" fontId="27" fillId="0" borderId="8" xfId="0" applyNumberFormat="1" applyFont="1" applyBorder="1" applyAlignment="1">
      <alignment horizontal="center" vertical="center" wrapText="1"/>
    </xf>
    <xf numFmtId="0" fontId="0" fillId="0" borderId="8" xfId="0" applyBorder="1" applyAlignment="1">
      <alignment vertical="center" wrapText="1"/>
    </xf>
    <xf numFmtId="0" fontId="0" fillId="0" borderId="1" xfId="0" applyAlignment="1">
      <alignment horizontal="left"/>
    </xf>
    <xf numFmtId="0" fontId="0" fillId="0" borderId="1" xfId="0" applyAlignment="1">
      <alignment horizontal="left" vertical="center"/>
    </xf>
    <xf numFmtId="0" fontId="11" fillId="0" borderId="1" xfId="0" applyFont="1" applyAlignment="1">
      <alignment horizontal="left" vertical="center"/>
    </xf>
    <xf numFmtId="0" fontId="9" fillId="0" borderId="1" xfId="1" applyFont="1" applyAlignment="1">
      <alignment horizontal="left" vertical="center" wrapText="1"/>
    </xf>
    <xf numFmtId="0" fontId="29" fillId="9" borderId="1" xfId="1" applyFont="1" applyFill="1" applyAlignment="1">
      <alignment vertical="center"/>
    </xf>
    <xf numFmtId="0" fontId="30" fillId="9" borderId="1" xfId="1" applyFont="1" applyFill="1" applyAlignment="1">
      <alignment vertical="center"/>
    </xf>
    <xf numFmtId="0" fontId="9" fillId="9" borderId="1" xfId="1" applyFont="1" applyFill="1" applyAlignment="1">
      <alignment horizontal="left" vertical="center" wrapText="1"/>
    </xf>
    <xf numFmtId="0" fontId="16" fillId="11" borderId="22" xfId="1" applyFont="1" applyFill="1" applyBorder="1" applyAlignment="1">
      <alignment horizontal="center" vertical="center" wrapText="1"/>
    </xf>
    <xf numFmtId="0" fontId="28" fillId="0" borderId="1" xfId="1"/>
    <xf numFmtId="0" fontId="31" fillId="0" borderId="23" xfId="1" applyFont="1" applyBorder="1" applyAlignment="1">
      <alignment horizontal="left" vertical="center"/>
    </xf>
    <xf numFmtId="0" fontId="13" fillId="9" borderId="23" xfId="1" applyFont="1" applyFill="1" applyBorder="1" applyAlignment="1">
      <alignment horizontal="center" vertical="center" wrapText="1"/>
    </xf>
    <xf numFmtId="0" fontId="31" fillId="9" borderId="23" xfId="1" applyFont="1" applyFill="1" applyBorder="1" applyAlignment="1">
      <alignment horizontal="center" vertical="center" wrapText="1"/>
    </xf>
    <xf numFmtId="0" fontId="32" fillId="0" borderId="23" xfId="1" applyFont="1" applyBorder="1" applyAlignment="1">
      <alignment horizontal="left" vertical="center"/>
    </xf>
    <xf numFmtId="0" fontId="33" fillId="0" borderId="1" xfId="1" applyFont="1"/>
    <xf numFmtId="0" fontId="34" fillId="0" borderId="1" xfId="1" applyFont="1" applyAlignment="1">
      <alignment horizontal="center" vertical="center"/>
    </xf>
    <xf numFmtId="0" fontId="13" fillId="20" borderId="23" xfId="1" applyFont="1" applyFill="1" applyBorder="1" applyAlignment="1">
      <alignment horizontal="center" vertical="center" wrapText="1"/>
    </xf>
    <xf numFmtId="0" fontId="0" fillId="0" borderId="0" xfId="0" applyBorder="1" applyAlignment="1">
      <alignment wrapText="1"/>
    </xf>
    <xf numFmtId="0" fontId="35" fillId="0" borderId="8" xfId="0" applyFont="1" applyBorder="1" applyAlignment="1">
      <alignment horizontal="center" vertical="center" wrapText="1"/>
    </xf>
    <xf numFmtId="0" fontId="0" fillId="0" borderId="1" xfId="0" applyAlignment="1">
      <alignment vertical="center" wrapText="1"/>
    </xf>
    <xf numFmtId="0" fontId="0" fillId="0" borderId="8" xfId="0" applyBorder="1"/>
    <xf numFmtId="0" fontId="35" fillId="0" borderId="0" xfId="0" applyFont="1" applyBorder="1"/>
    <xf numFmtId="0" fontId="0" fillId="0" borderId="8" xfId="0" applyBorder="1" applyAlignment="1">
      <alignment horizontal="center" vertical="center" wrapText="1"/>
    </xf>
    <xf numFmtId="2" fontId="36" fillId="0" borderId="8" xfId="0" applyNumberFormat="1" applyFont="1" applyBorder="1" applyAlignment="1">
      <alignment horizontal="center" vertical="center" wrapText="1"/>
    </xf>
    <xf numFmtId="0" fontId="36" fillId="0" borderId="8" xfId="0" applyFont="1" applyBorder="1" applyAlignment="1">
      <alignment horizontal="center" vertical="center" wrapText="1"/>
    </xf>
    <xf numFmtId="0" fontId="1" fillId="0" borderId="1" xfId="0" applyFont="1" applyAlignment="1">
      <alignment horizontal="left" vertical="center"/>
    </xf>
    <xf numFmtId="2" fontId="0" fillId="0" borderId="8" xfId="0" applyNumberFormat="1" applyBorder="1" applyAlignment="1">
      <alignment vertical="center" wrapText="1"/>
    </xf>
    <xf numFmtId="1" fontId="35" fillId="0" borderId="19" xfId="0" applyNumberFormat="1" applyFont="1" applyBorder="1" applyAlignment="1">
      <alignment horizontal="center"/>
    </xf>
    <xf numFmtId="0" fontId="35" fillId="0" borderId="19" xfId="0" applyFont="1" applyBorder="1" applyAlignment="1">
      <alignment horizontal="center"/>
    </xf>
    <xf numFmtId="0" fontId="35" fillId="0" borderId="21" xfId="0" applyFont="1" applyBorder="1" applyAlignment="1">
      <alignment horizontal="center"/>
    </xf>
    <xf numFmtId="14" fontId="3" fillId="6" borderId="2" xfId="0" applyNumberFormat="1" applyFont="1" applyFill="1" applyBorder="1"/>
    <xf numFmtId="0" fontId="3" fillId="21" borderId="1" xfId="0" applyFont="1" applyFill="1"/>
    <xf numFmtId="0" fontId="1" fillId="21" borderId="1" xfId="0" applyFont="1" applyFill="1"/>
    <xf numFmtId="0" fontId="0" fillId="21" borderId="1" xfId="0" applyFill="1"/>
    <xf numFmtId="0" fontId="35" fillId="0" borderId="0" xfId="0" applyFont="1" applyBorder="1" applyAlignment="1">
      <alignment horizontal="center" vertical="center" wrapText="1"/>
    </xf>
    <xf numFmtId="2" fontId="37" fillId="0" borderId="25" xfId="0" applyNumberFormat="1" applyFont="1" applyBorder="1" applyAlignment="1">
      <alignment horizontal="center" vertical="center" wrapText="1"/>
    </xf>
    <xf numFmtId="2" fontId="37" fillId="0" borderId="26" xfId="0" applyNumberFormat="1" applyFont="1" applyBorder="1" applyAlignment="1">
      <alignment horizontal="center" vertical="center" wrapText="1"/>
    </xf>
    <xf numFmtId="2" fontId="37" fillId="0" borderId="28" xfId="0" applyNumberFormat="1" applyFont="1" applyBorder="1" applyAlignment="1">
      <alignment horizontal="center" vertical="center" wrapText="1"/>
    </xf>
    <xf numFmtId="0" fontId="0" fillId="0" borderId="29" xfId="0" applyBorder="1" applyAlignment="1">
      <alignment vertical="center" wrapText="1"/>
    </xf>
    <xf numFmtId="0" fontId="0" fillId="0" borderId="30" xfId="0" applyBorder="1" applyAlignment="1">
      <alignment vertical="center" wrapText="1"/>
    </xf>
    <xf numFmtId="0" fontId="0" fillId="0" borderId="31" xfId="0" applyBorder="1" applyAlignment="1">
      <alignment vertical="center" wrapText="1"/>
    </xf>
    <xf numFmtId="0" fontId="40" fillId="0" borderId="0" xfId="0" applyFont="1" applyBorder="1"/>
    <xf numFmtId="0" fontId="39" fillId="0" borderId="0" xfId="0" applyFont="1" applyBorder="1"/>
    <xf numFmtId="0" fontId="1" fillId="0" borderId="2" xfId="0" applyFont="1" applyBorder="1" applyAlignment="1">
      <alignment horizontal="center"/>
    </xf>
    <xf numFmtId="2" fontId="0" fillId="0" borderId="1" xfId="0" applyNumberFormat="1" applyAlignment="1">
      <alignment vertical="center" wrapText="1"/>
    </xf>
    <xf numFmtId="165" fontId="42" fillId="22" borderId="2" xfId="0" applyNumberFormat="1" applyFont="1" applyFill="1" applyBorder="1" applyAlignment="1">
      <alignment horizontal="center" wrapText="1"/>
    </xf>
    <xf numFmtId="0" fontId="42" fillId="7" borderId="2" xfId="0" applyFont="1" applyFill="1" applyBorder="1" applyAlignment="1">
      <alignment horizontal="center" wrapText="1"/>
    </xf>
    <xf numFmtId="9" fontId="42" fillId="22" borderId="2" xfId="2" applyFont="1" applyFill="1" applyBorder="1" applyAlignment="1">
      <alignment horizontal="center" wrapText="1"/>
    </xf>
    <xf numFmtId="0" fontId="42" fillId="7" borderId="35" xfId="0" applyFont="1" applyFill="1" applyBorder="1" applyAlignment="1">
      <alignment horizontal="center" vertical="center" wrapText="1"/>
    </xf>
    <xf numFmtId="0" fontId="42" fillId="7" borderId="35" xfId="0" applyFont="1" applyFill="1" applyBorder="1" applyAlignment="1">
      <alignment vertical="center" wrapText="1"/>
    </xf>
    <xf numFmtId="0" fontId="4" fillId="7" borderId="34" xfId="0" applyFont="1" applyFill="1" applyBorder="1" applyAlignment="1">
      <alignment vertical="center" wrapText="1"/>
    </xf>
    <xf numFmtId="0" fontId="35" fillId="0" borderId="8" xfId="0" applyFont="1" applyBorder="1"/>
    <xf numFmtId="0" fontId="43" fillId="0" borderId="0" xfId="0" applyFont="1" applyBorder="1" applyAlignment="1">
      <alignment vertical="center"/>
    </xf>
    <xf numFmtId="0" fontId="44" fillId="0" borderId="0" xfId="0" applyFont="1" applyBorder="1" applyAlignment="1">
      <alignment vertical="center"/>
    </xf>
    <xf numFmtId="0" fontId="0" fillId="0" borderId="0" xfId="0" applyBorder="1" applyAlignment="1">
      <alignment horizontal="left" vertical="center" indent="1"/>
    </xf>
    <xf numFmtId="0" fontId="0" fillId="0" borderId="0" xfId="0" applyBorder="1" applyAlignment="1">
      <alignment vertical="center" wrapText="1"/>
    </xf>
    <xf numFmtId="0" fontId="0" fillId="0" borderId="1" xfId="0" applyAlignment="1">
      <alignment horizontal="left" vertical="top" wrapText="1"/>
    </xf>
    <xf numFmtId="0" fontId="11" fillId="0" borderId="8" xfId="0" applyFont="1" applyBorder="1" applyAlignment="1">
      <alignment vertical="top" wrapText="1"/>
    </xf>
    <xf numFmtId="0" fontId="0" fillId="0" borderId="0" xfId="0" applyBorder="1" applyAlignment="1">
      <alignment horizontal="left" vertical="center" wrapText="1"/>
    </xf>
    <xf numFmtId="2" fontId="42" fillId="7" borderId="35" xfId="0" applyNumberFormat="1" applyFont="1" applyFill="1" applyBorder="1" applyAlignment="1">
      <alignment horizontal="center" vertical="center" wrapText="1"/>
    </xf>
    <xf numFmtId="0" fontId="2" fillId="5" borderId="2" xfId="0" applyFont="1" applyFill="1" applyBorder="1" applyAlignment="1">
      <alignment horizontal="center"/>
    </xf>
    <xf numFmtId="0" fontId="2" fillId="5" borderId="1" xfId="0" applyFont="1" applyFill="1" applyAlignment="1">
      <alignment horizontal="center"/>
    </xf>
    <xf numFmtId="0" fontId="0" fillId="0" borderId="1" xfId="0"/>
    <xf numFmtId="0" fontId="0" fillId="0" borderId="24" xfId="0" applyBorder="1" applyAlignment="1">
      <alignment horizontal="left" vertical="center" wrapText="1"/>
    </xf>
    <xf numFmtId="0" fontId="0" fillId="0" borderId="32" xfId="0" applyBorder="1" applyAlignment="1">
      <alignment horizontal="left" vertical="center" wrapText="1"/>
    </xf>
    <xf numFmtId="0" fontId="0" fillId="0" borderId="25" xfId="0" applyBorder="1" applyAlignment="1">
      <alignment horizontal="left" vertical="center" wrapText="1"/>
    </xf>
    <xf numFmtId="0" fontId="0" fillId="0" borderId="27"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13" fillId="9" borderId="1" xfId="0" applyFont="1" applyFill="1" applyAlignment="1">
      <alignment horizontal="left" vertical="top" wrapText="1"/>
    </xf>
    <xf numFmtId="49" fontId="23" fillId="16" borderId="13" xfId="0" applyNumberFormat="1" applyFont="1" applyFill="1" applyBorder="1" applyAlignment="1">
      <alignment horizontal="left" vertical="top" wrapText="1"/>
    </xf>
    <xf numFmtId="49" fontId="23" fillId="16" borderId="9" xfId="0" applyNumberFormat="1" applyFont="1" applyFill="1" applyBorder="1" applyAlignment="1">
      <alignment horizontal="left" vertical="top" wrapText="1"/>
    </xf>
    <xf numFmtId="49" fontId="23" fillId="16" borderId="6" xfId="0" applyNumberFormat="1" applyFont="1" applyFill="1" applyBorder="1" applyAlignment="1">
      <alignment horizontal="center" vertical="top" wrapText="1"/>
    </xf>
    <xf numFmtId="49" fontId="23" fillId="16" borderId="9" xfId="0" applyNumberFormat="1" applyFont="1" applyFill="1" applyBorder="1" applyAlignment="1">
      <alignment horizontal="center" vertical="top" wrapText="1"/>
    </xf>
    <xf numFmtId="0" fontId="25" fillId="2" borderId="1" xfId="0" applyFont="1" applyFill="1" applyAlignment="1">
      <alignment horizontal="center"/>
    </xf>
    <xf numFmtId="0" fontId="1" fillId="4" borderId="2" xfId="0" applyFont="1" applyFill="1" applyBorder="1" applyAlignment="1">
      <alignment vertical="top" wrapText="1"/>
    </xf>
    <xf numFmtId="0" fontId="0" fillId="0" borderId="0" xfId="0" applyBorder="1"/>
    <xf numFmtId="0" fontId="38" fillId="2" borderId="2" xfId="0" applyFont="1" applyFill="1" applyBorder="1" applyAlignment="1">
      <alignment horizontal="center" vertical="center"/>
    </xf>
    <xf numFmtId="0" fontId="39" fillId="0" borderId="1" xfId="0" applyFont="1"/>
    <xf numFmtId="0" fontId="1" fillId="3" borderId="2" xfId="0" applyFont="1" applyFill="1" applyBorder="1" applyAlignment="1">
      <alignment vertical="top" wrapText="1"/>
    </xf>
  </cellXfs>
  <cellStyles count="3">
    <cellStyle name="Normal" xfId="0" builtinId="0"/>
    <cellStyle name="Normal 2" xfId="1" xr:uid="{438EF576-9A0C-4819-9DD9-AA0904618292}"/>
    <cellStyle name="Percent" xfId="2" builtinId="5"/>
  </cellStyles>
  <dxfs count="25">
    <dxf>
      <fill>
        <patternFill>
          <bgColor rgb="FFFF000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6666"/>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patternType="solid">
          <bgColor rgb="FFDCFCE7"/>
        </patternFill>
      </fill>
    </dxf>
    <dxf>
      <fill>
        <patternFill patternType="solid">
          <bgColor rgb="FFFEF3C7"/>
        </patternFill>
      </fill>
    </dxf>
    <dxf>
      <fill>
        <patternFill patternType="solid">
          <bgColor rgb="FFFEE2E2"/>
        </patternFill>
      </fill>
    </dxf>
    <dxf>
      <font>
        <color theme="1"/>
      </font>
      <fill>
        <patternFill>
          <bgColor auto="1"/>
        </patternFill>
      </fill>
    </dxf>
    <dxf>
      <font>
        <color theme="1"/>
      </font>
      <fill>
        <patternFill>
          <bgColor theme="7"/>
        </patternFill>
      </fill>
    </dxf>
    <dxf>
      <font>
        <color theme="1"/>
      </font>
      <fill>
        <patternFill>
          <bgColor auto="1"/>
        </patternFill>
      </fill>
    </dxf>
    <dxf>
      <font>
        <color theme="1"/>
      </font>
      <fill>
        <patternFill>
          <bgColor auto="1"/>
        </patternFill>
      </fill>
    </dxf>
    <dxf>
      <font>
        <color theme="1"/>
      </font>
      <fill>
        <patternFill>
          <bgColor auto="1"/>
        </patternFill>
      </fill>
    </dxf>
    <dxf>
      <fill>
        <patternFill>
          <bgColor rgb="FFFF0000"/>
        </patternFill>
      </fill>
    </dxf>
    <dxf>
      <fill>
        <patternFill>
          <bgColor rgb="FFFFC000"/>
        </patternFill>
      </fill>
    </dxf>
    <dxf>
      <fill>
        <patternFill>
          <bgColor rgb="FF00B050"/>
        </patternFill>
      </fill>
    </dxf>
    <dxf>
      <fill>
        <patternFill>
          <bgColor theme="0" tint="-4.9989318521683403E-2"/>
        </patternFill>
      </fill>
    </dxf>
  </dxfs>
  <tableStyles count="0" defaultTableStyle="TableStyleMedium2" defaultPivotStyle="PivotStyleLight16"/>
  <colors>
    <mruColors>
      <color rgb="FFFF6666"/>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GB"/>
              <a:t>Dimension Readiness Scores</a:t>
            </a:r>
          </a:p>
        </c:rich>
      </c:tx>
      <c:overlay val="0"/>
    </c:title>
    <c:autoTitleDeleted val="0"/>
    <c:plotArea>
      <c:layout/>
      <c:barChart>
        <c:barDir val="col"/>
        <c:grouping val="clustered"/>
        <c:varyColors val="0"/>
        <c:ser>
          <c:idx val="0"/>
          <c:order val="0"/>
          <c:spPr>
            <a:ln>
              <a:prstDash val="solid"/>
            </a:ln>
          </c:spPr>
          <c:invertIfNegative val="1"/>
          <c:cat>
            <c:strRef>
              <c:f>'Agentic Delivery Dashboard'!$A$8:$A$13</c:f>
              <c:strCache>
                <c:ptCount val="6"/>
                <c:pt idx="0">
                  <c:v>Strategy &amp; Value</c:v>
                </c:pt>
                <c:pt idx="1">
                  <c:v>Governance &amp; Risk</c:v>
                </c:pt>
                <c:pt idx="2">
                  <c:v>Human-in-the-Loop</c:v>
                </c:pt>
                <c:pt idx="3">
                  <c:v>Agent Workforce Design</c:v>
                </c:pt>
                <c:pt idx="4">
                  <c:v>Technology &amp; Architecture</c:v>
                </c:pt>
                <c:pt idx="5">
                  <c:v>Measurement &amp; Optimisation</c:v>
                </c:pt>
              </c:strCache>
            </c:strRef>
          </c:cat>
          <c:val>
            <c:numRef>
              <c:f>'Agentic Delivery Dashboard'!$B$8:$B$13</c:f>
              <c:numCache>
                <c:formatCode>General</c:formatCode>
                <c:ptCount val="6"/>
                <c:pt idx="0">
                  <c:v>2</c:v>
                </c:pt>
                <c:pt idx="1">
                  <c:v>0</c:v>
                </c:pt>
                <c:pt idx="2">
                  <c:v>1</c:v>
                </c:pt>
                <c:pt idx="3">
                  <c:v>0</c:v>
                </c:pt>
                <c:pt idx="4">
                  <c:v>0</c:v>
                </c:pt>
                <c:pt idx="5">
                  <c:v>0</c:v>
                </c:pt>
              </c:numCache>
            </c:numRef>
          </c:val>
          <c:extLst>
            <c:ext xmlns:c16="http://schemas.microsoft.com/office/drawing/2014/chart" uri="{C3380CC4-5D6E-409C-BE32-E72D297353CC}">
              <c16:uniqueId val="{00000000-DD83-4F79-9956-9ED75A145E6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 sourceLinked="0"/>
        <c:majorTickMark val="none"/>
        <c:minorTickMark val="none"/>
        <c:tickLblPos val="nextTo"/>
        <c:crossAx val="48650112"/>
        <c:crosses val="autoZero"/>
        <c:crossBetween val="between"/>
      </c:valAx>
    </c:plotArea>
    <c:legend>
      <c:legendPos val="b"/>
      <c:overlay val="0"/>
    </c:legend>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GB" b="1"/>
              <a:t>Agentiv</a:t>
            </a:r>
            <a:r>
              <a:rPr lang="en-GB" b="1" baseline="0"/>
              <a:t> Delivery </a:t>
            </a:r>
            <a:r>
              <a:rPr lang="en-GB" b="1"/>
              <a:t>Maturity Radar</a:t>
            </a:r>
          </a:p>
        </c:rich>
      </c:tx>
      <c:overlay val="0"/>
    </c:title>
    <c:autoTitleDeleted val="0"/>
    <c:plotArea>
      <c:layout>
        <c:manualLayout>
          <c:layoutTarget val="inner"/>
          <c:xMode val="edge"/>
          <c:yMode val="edge"/>
          <c:x val="0.38460903851038469"/>
          <c:y val="7.5043161559375321E-2"/>
          <c:w val="0.28239479494343606"/>
          <c:h val="0.90693727248705325"/>
        </c:manualLayout>
      </c:layout>
      <c:radarChart>
        <c:radarStyle val="marker"/>
        <c:varyColors val="1"/>
        <c:ser>
          <c:idx val="0"/>
          <c:order val="0"/>
          <c:tx>
            <c:v>Score</c:v>
          </c:tx>
          <c:spPr>
            <a:ln>
              <a:prstDash val="solid"/>
            </a:ln>
          </c:spPr>
          <c:marker>
            <c:symbol val="none"/>
          </c:marker>
          <c:cat>
            <c:strRef>
              <c:f>'Agentic Delivery Dashboard'!$A$8:$A$13</c:f>
              <c:strCache>
                <c:ptCount val="6"/>
                <c:pt idx="0">
                  <c:v>Strategy &amp; Value</c:v>
                </c:pt>
                <c:pt idx="1">
                  <c:v>Governance &amp; Risk</c:v>
                </c:pt>
                <c:pt idx="2">
                  <c:v>Human-in-the-Loop</c:v>
                </c:pt>
                <c:pt idx="3">
                  <c:v>Agent Workforce Design</c:v>
                </c:pt>
                <c:pt idx="4">
                  <c:v>Technology &amp; Architecture</c:v>
                </c:pt>
                <c:pt idx="5">
                  <c:v>Measurement &amp; Optimisation</c:v>
                </c:pt>
              </c:strCache>
            </c:strRef>
          </c:cat>
          <c:val>
            <c:numRef>
              <c:f>'Agentic Delivery Dashboard'!$A$8:$A$13</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9D4E-4F24-B39C-5D988948B68F}"/>
            </c:ext>
          </c:extLst>
        </c:ser>
        <c:ser>
          <c:idx val="1"/>
          <c:order val="1"/>
          <c:tx>
            <c:v>Readiness Score</c:v>
          </c:tx>
          <c:spPr>
            <a:ln w="31750"/>
          </c:spPr>
          <c:marker>
            <c:symbol val="diamond"/>
            <c:size val="6"/>
          </c:marker>
          <c:val>
            <c:numRef>
              <c:f>'Agentic Delivery Dashboard'!$B$8:$B$13</c:f>
              <c:numCache>
                <c:formatCode>General</c:formatCode>
                <c:ptCount val="6"/>
                <c:pt idx="0">
                  <c:v>2</c:v>
                </c:pt>
                <c:pt idx="1">
                  <c:v>0</c:v>
                </c:pt>
                <c:pt idx="2">
                  <c:v>1</c:v>
                </c:pt>
                <c:pt idx="3">
                  <c:v>0</c:v>
                </c:pt>
                <c:pt idx="4">
                  <c:v>0</c:v>
                </c:pt>
                <c:pt idx="5">
                  <c:v>0</c:v>
                </c:pt>
              </c:numCache>
            </c:numRef>
          </c:val>
          <c:extLst>
            <c:ext xmlns:c16="http://schemas.microsoft.com/office/drawing/2014/chart" uri="{C3380CC4-5D6E-409C-BE32-E72D297353CC}">
              <c16:uniqueId val="{00000000-41B7-445C-A54B-11B34985A98F}"/>
            </c:ext>
          </c:extLst>
        </c:ser>
        <c:dLbls>
          <c:showLegendKey val="0"/>
          <c:showVal val="0"/>
          <c:showCatName val="0"/>
          <c:showSerName val="0"/>
          <c:showPercent val="0"/>
          <c:showBubbleSize val="0"/>
        </c:dLbls>
        <c:axId val="48650112"/>
        <c:axId val="48672768"/>
      </c:radarChart>
      <c:catAx>
        <c:axId val="48650112"/>
        <c:scaling>
          <c:orientation val="minMax"/>
        </c:scaling>
        <c:delete val="0"/>
        <c:axPos val="b"/>
        <c:majorGridlines>
          <c:spPr>
            <a:ln w="9525">
              <a:solidFill>
                <a:srgbClr val="CCCCCC"/>
              </a:solidFill>
              <a:prstDash val="dash"/>
            </a:ln>
          </c:spPr>
        </c:majorGridlines>
        <c:numFmt formatCode=";;" sourceLinked="0"/>
        <c:majorTickMark val="none"/>
        <c:minorTickMark val="none"/>
        <c:tickLblPos val="nextTo"/>
        <c:crossAx val="48672768"/>
        <c:crosses val="autoZero"/>
        <c:auto val="1"/>
        <c:lblAlgn val="ctr"/>
        <c:lblOffset val="100"/>
        <c:noMultiLvlLbl val="0"/>
      </c:catAx>
      <c:valAx>
        <c:axId val="48672768"/>
        <c:scaling>
          <c:orientation val="minMax"/>
          <c:max val="5"/>
        </c:scaling>
        <c:delete val="0"/>
        <c:axPos val="l"/>
        <c:majorGridlines>
          <c:spPr>
            <a:ln w="9525">
              <a:solidFill>
                <a:srgbClr val="CCCCCC"/>
              </a:solidFill>
              <a:prstDash val="dash"/>
            </a:ln>
          </c:spPr>
        </c:majorGridlines>
        <c:numFmt formatCode=";;" sourceLinked="0"/>
        <c:majorTickMark val="none"/>
        <c:minorTickMark val="none"/>
        <c:tickLblPos val="nextTo"/>
        <c:crossAx val="48650112"/>
        <c:crosses val="autoZero"/>
        <c:crossBetween val="between"/>
        <c:majorUnit val="1"/>
      </c:valAx>
    </c:plotArea>
    <c:legend>
      <c:legendPos val="b"/>
      <c:overlay val="0"/>
    </c:legend>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111125</xdr:rowOff>
    </xdr:from>
    <xdr:to>
      <xdr:col>6</xdr:col>
      <xdr:colOff>679864</xdr:colOff>
      <xdr:row>33</xdr:row>
      <xdr:rowOff>79374</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63500</xdr:colOff>
      <xdr:row>35</xdr:row>
      <xdr:rowOff>111124</xdr:rowOff>
    </xdr:from>
    <xdr:to>
      <xdr:col>10</xdr:col>
      <xdr:colOff>63500</xdr:colOff>
      <xdr:row>84</xdr:row>
      <xdr:rowOff>156482</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234950</xdr:colOff>
      <xdr:row>86</xdr:row>
      <xdr:rowOff>69850</xdr:rowOff>
    </xdr:from>
    <xdr:to>
      <xdr:col>1</xdr:col>
      <xdr:colOff>234950</xdr:colOff>
      <xdr:row>86</xdr:row>
      <xdr:rowOff>139700</xdr:rowOff>
    </xdr:to>
    <xdr:sp macro="" textlink="">
      <xdr:nvSpPr>
        <xdr:cNvPr id="2" name="Oval 18">
          <a:extLst>
            <a:ext uri="{FF2B5EF4-FFF2-40B4-BE49-F238E27FC236}">
              <a16:creationId xmlns:a16="http://schemas.microsoft.com/office/drawing/2014/main" id="{BD44F118-316D-4504-997C-3807C1600555}"/>
            </a:ext>
          </a:extLst>
        </xdr:cNvPr>
        <xdr:cNvSpPr>
          <a:spLocks noGrp="1"/>
        </xdr:cNvSpPr>
      </xdr:nvSpPr>
      <xdr:spPr>
        <a:xfrm>
          <a:off x="234950" y="17907000"/>
          <a:ext cx="69850" cy="69850"/>
        </a:xfrm>
        <a:prstGeom prst="ellipse">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AB39"/>
  <sheetViews>
    <sheetView showGridLines="0" topLeftCell="B1" zoomScale="75" zoomScaleNormal="75" workbookViewId="0">
      <selection activeCell="B3" sqref="B3"/>
    </sheetView>
  </sheetViews>
  <sheetFormatPr defaultColWidth="8.6640625" defaultRowHeight="14"/>
  <cols>
    <col min="1" max="1" width="3.33203125" style="1" customWidth="1"/>
    <col min="2" max="2" width="30.4140625" style="1" customWidth="1"/>
    <col min="3" max="3" width="62.1640625" style="1" customWidth="1"/>
    <col min="4" max="4" width="19" style="1" customWidth="1"/>
    <col min="5" max="5" width="19.33203125" style="1" customWidth="1"/>
    <col min="6" max="6" width="22.08203125" style="1" customWidth="1"/>
    <col min="7" max="10" width="16.4140625" style="1" customWidth="1"/>
    <col min="11" max="11" width="52.25" style="1" customWidth="1"/>
    <col min="12" max="12" width="27.1640625" style="1" customWidth="1"/>
    <col min="13" max="13" width="22.6640625" style="1" customWidth="1"/>
    <col min="14" max="27" width="11.08203125" style="1" customWidth="1"/>
    <col min="28" max="16382" width="3.33203125" style="1" customWidth="1"/>
    <col min="16383" max="16383" width="4.1640625" style="1" customWidth="1"/>
    <col min="16384" max="16384" width="19.33203125" style="1" customWidth="1"/>
  </cols>
  <sheetData>
    <row r="1" spans="1:28" ht="66.5" customHeight="1">
      <c r="A1" s="12"/>
      <c r="B1" s="13" t="s">
        <v>208</v>
      </c>
      <c r="C1" s="14"/>
      <c r="D1" s="14"/>
      <c r="E1" s="14"/>
      <c r="F1" s="14"/>
      <c r="G1" s="14"/>
      <c r="H1" s="12"/>
      <c r="I1" s="15"/>
      <c r="J1" s="12"/>
      <c r="K1" s="12"/>
      <c r="L1" s="12"/>
      <c r="M1" s="12"/>
      <c r="N1" s="12"/>
      <c r="O1" s="12"/>
      <c r="P1" s="12"/>
      <c r="Q1" s="12"/>
      <c r="R1" s="12"/>
      <c r="S1" s="12"/>
      <c r="T1" s="12"/>
      <c r="U1" s="12"/>
      <c r="V1" s="12"/>
      <c r="W1" s="12"/>
      <c r="X1" s="12"/>
      <c r="Y1" s="12"/>
      <c r="Z1" s="16"/>
      <c r="AA1" s="16"/>
      <c r="AB1" s="16"/>
    </row>
    <row r="2" spans="1:28" ht="313.5" customHeight="1">
      <c r="A2" s="12"/>
      <c r="B2" s="130" t="s">
        <v>250</v>
      </c>
      <c r="C2" s="130"/>
      <c r="D2" s="130"/>
      <c r="E2" s="130"/>
      <c r="F2" s="130"/>
      <c r="G2" s="130"/>
      <c r="H2" s="130"/>
      <c r="I2" s="130"/>
      <c r="J2" s="130"/>
      <c r="K2" s="130"/>
      <c r="L2" s="12"/>
      <c r="M2" s="12"/>
      <c r="N2" s="12"/>
      <c r="O2" s="12"/>
      <c r="P2" s="12"/>
      <c r="Q2" s="12"/>
      <c r="R2" s="12"/>
      <c r="S2" s="12"/>
      <c r="T2" s="12"/>
      <c r="U2" s="12"/>
      <c r="V2" s="12"/>
      <c r="W2" s="12"/>
      <c r="X2" s="12"/>
      <c r="Y2" s="12"/>
      <c r="Z2" s="12"/>
      <c r="AA2" s="12"/>
      <c r="AB2" s="12"/>
    </row>
    <row r="3" spans="1:28" ht="20.5" customHeight="1">
      <c r="A3" s="17"/>
      <c r="B3" s="18" t="s">
        <v>12</v>
      </c>
      <c r="C3" s="18" t="s">
        <v>19</v>
      </c>
      <c r="D3" s="18" t="s">
        <v>13</v>
      </c>
      <c r="E3" s="18" t="s">
        <v>20</v>
      </c>
      <c r="F3" s="18" t="s">
        <v>21</v>
      </c>
      <c r="G3" s="19"/>
      <c r="H3" s="19"/>
      <c r="I3" s="20"/>
      <c r="J3" s="21"/>
      <c r="K3" s="21"/>
      <c r="L3" s="21"/>
      <c r="M3" s="21"/>
      <c r="N3" s="21"/>
      <c r="O3" s="21"/>
      <c r="P3" s="21"/>
      <c r="Q3" s="21"/>
      <c r="R3" s="21"/>
      <c r="S3" s="21"/>
      <c r="T3" s="21"/>
      <c r="U3" s="21"/>
      <c r="V3" s="21"/>
      <c r="W3" s="21"/>
      <c r="X3" s="21"/>
      <c r="Y3" s="21"/>
      <c r="Z3" s="21"/>
      <c r="AA3" s="21"/>
      <c r="AB3" s="21"/>
    </row>
    <row r="4" spans="1:28" ht="66.5" customHeight="1" thickBot="1">
      <c r="A4" s="22"/>
      <c r="B4" s="23"/>
      <c r="C4" s="23"/>
      <c r="D4" s="24"/>
      <c r="E4" s="24"/>
      <c r="F4" s="24"/>
      <c r="J4" s="25"/>
      <c r="L4" s="25"/>
      <c r="S4" s="25"/>
      <c r="T4" s="25"/>
      <c r="U4" s="25"/>
      <c r="V4" s="25"/>
      <c r="W4" s="25"/>
      <c r="X4" s="25"/>
      <c r="Y4" s="25"/>
      <c r="Z4" s="25"/>
      <c r="AA4" s="25"/>
      <c r="AB4" s="25"/>
    </row>
    <row r="5" spans="1:28" ht="66.5" customHeight="1" thickBot="1">
      <c r="A5" s="17"/>
      <c r="B5" s="26"/>
      <c r="C5" s="27"/>
      <c r="D5" s="27"/>
      <c r="E5" s="27"/>
      <c r="F5" s="19"/>
      <c r="G5" s="19"/>
      <c r="H5" s="19"/>
      <c r="I5" s="20"/>
      <c r="J5" s="21"/>
      <c r="K5" s="21"/>
      <c r="L5" s="21"/>
      <c r="M5" s="21"/>
      <c r="N5" s="21"/>
      <c r="O5" s="21"/>
      <c r="P5" s="21"/>
      <c r="Q5" s="21"/>
      <c r="R5" s="21"/>
      <c r="S5" s="21"/>
      <c r="T5" s="21"/>
      <c r="U5" s="21"/>
      <c r="V5" s="21"/>
      <c r="W5" s="21"/>
      <c r="X5" s="21"/>
      <c r="Y5" s="21"/>
      <c r="Z5" s="21"/>
      <c r="AA5" s="21"/>
      <c r="AB5" s="21"/>
    </row>
    <row r="6" spans="1:28" ht="66.5" customHeight="1">
      <c r="A6" s="28"/>
      <c r="B6" s="29"/>
      <c r="C6" s="29"/>
      <c r="D6" s="30" t="s">
        <v>22</v>
      </c>
      <c r="E6" s="31" t="s">
        <v>194</v>
      </c>
      <c r="F6" s="32" t="s">
        <v>196</v>
      </c>
      <c r="G6" s="33" t="s">
        <v>198</v>
      </c>
      <c r="H6" s="34" t="s">
        <v>200</v>
      </c>
      <c r="I6" s="35" t="s">
        <v>202</v>
      </c>
      <c r="J6" s="28"/>
      <c r="K6" s="28"/>
      <c r="L6" s="28"/>
      <c r="M6" s="28"/>
    </row>
    <row r="7" spans="1:28" ht="46.5" customHeight="1" thickBot="1">
      <c r="A7" s="28"/>
      <c r="B7" s="36"/>
      <c r="C7" s="78" t="s">
        <v>248</v>
      </c>
      <c r="D7" s="37"/>
      <c r="E7" s="38" t="s">
        <v>24</v>
      </c>
      <c r="F7" s="38" t="s">
        <v>25</v>
      </c>
      <c r="G7" s="38" t="s">
        <v>26</v>
      </c>
      <c r="H7" s="38" t="s">
        <v>27</v>
      </c>
      <c r="I7" s="38" t="s">
        <v>28</v>
      </c>
      <c r="J7" s="28"/>
      <c r="K7" s="28"/>
      <c r="L7" s="28"/>
      <c r="M7" s="28"/>
    </row>
    <row r="8" spans="1:28" ht="66.5" customHeight="1">
      <c r="A8" s="28"/>
      <c r="B8" s="131" t="s">
        <v>115</v>
      </c>
      <c r="C8" s="42" t="s">
        <v>79</v>
      </c>
      <c r="D8" s="40">
        <f>SUM(E8:I8)</f>
        <v>2</v>
      </c>
      <c r="E8" s="41"/>
      <c r="F8" s="41">
        <v>2</v>
      </c>
      <c r="G8" s="41"/>
      <c r="H8" s="41"/>
      <c r="I8" s="41"/>
      <c r="J8" s="28"/>
      <c r="K8" s="28"/>
      <c r="L8" s="28"/>
      <c r="M8" s="28"/>
    </row>
    <row r="9" spans="1:28" ht="66.5" customHeight="1">
      <c r="A9" s="28"/>
      <c r="B9" s="132"/>
      <c r="C9" s="42" t="s">
        <v>80</v>
      </c>
      <c r="D9" s="40">
        <f t="shared" ref="D9:D37" si="0">SUM(E9:I9)</f>
        <v>2</v>
      </c>
      <c r="E9" s="41"/>
      <c r="F9" s="41">
        <v>2</v>
      </c>
      <c r="G9" s="41"/>
      <c r="H9" s="41"/>
      <c r="I9" s="41"/>
      <c r="J9" s="28"/>
      <c r="K9" s="28"/>
      <c r="L9" s="28"/>
      <c r="M9" s="28"/>
    </row>
    <row r="10" spans="1:28" ht="66.5" customHeight="1">
      <c r="A10" s="28"/>
      <c r="B10" s="132"/>
      <c r="C10" s="42" t="s">
        <v>81</v>
      </c>
      <c r="D10" s="43">
        <f t="shared" si="0"/>
        <v>0</v>
      </c>
      <c r="E10" s="44"/>
      <c r="F10" s="44"/>
      <c r="G10" s="44"/>
      <c r="H10" s="44"/>
      <c r="I10" s="44"/>
      <c r="J10" s="28"/>
      <c r="K10" s="28"/>
      <c r="L10" s="28"/>
      <c r="M10" s="28"/>
    </row>
    <row r="11" spans="1:28" ht="66.5" customHeight="1">
      <c r="A11" s="28"/>
      <c r="B11" s="132"/>
      <c r="C11" s="42" t="s">
        <v>82</v>
      </c>
      <c r="D11" s="43">
        <f t="shared" si="0"/>
        <v>0</v>
      </c>
      <c r="E11" s="44"/>
      <c r="F11" s="44"/>
      <c r="G11" s="44"/>
      <c r="H11" s="44"/>
      <c r="I11" s="44"/>
      <c r="J11" s="28"/>
      <c r="K11" s="28"/>
      <c r="L11" s="28"/>
      <c r="M11" s="28"/>
    </row>
    <row r="12" spans="1:28" ht="66.5" customHeight="1">
      <c r="A12" s="28"/>
      <c r="B12" s="132"/>
      <c r="C12" s="42" t="s">
        <v>83</v>
      </c>
      <c r="D12" s="43">
        <f t="shared" si="0"/>
        <v>0</v>
      </c>
      <c r="E12" s="44"/>
      <c r="F12" s="44"/>
      <c r="G12" s="44"/>
      <c r="H12" s="44"/>
      <c r="I12" s="44"/>
      <c r="J12" s="28"/>
      <c r="K12" s="28"/>
      <c r="L12" s="28"/>
      <c r="M12" s="28"/>
    </row>
    <row r="13" spans="1:28" ht="66.5" customHeight="1">
      <c r="A13" s="28"/>
      <c r="B13" s="131" t="s">
        <v>84</v>
      </c>
      <c r="C13" s="45" t="s">
        <v>85</v>
      </c>
      <c r="D13" s="40">
        <f t="shared" si="0"/>
        <v>0</v>
      </c>
      <c r="E13" s="41"/>
      <c r="F13" s="41"/>
      <c r="G13" s="41"/>
      <c r="H13" s="41"/>
      <c r="I13" s="41"/>
      <c r="J13" s="28"/>
      <c r="K13" s="28"/>
      <c r="L13" s="28"/>
      <c r="M13" s="28"/>
    </row>
    <row r="14" spans="1:28" ht="66.5" customHeight="1">
      <c r="A14" s="28"/>
      <c r="B14" s="132"/>
      <c r="C14" s="42" t="s">
        <v>86</v>
      </c>
      <c r="D14" s="43">
        <f t="shared" si="0"/>
        <v>0</v>
      </c>
      <c r="E14" s="44"/>
      <c r="F14" s="44"/>
      <c r="G14" s="44"/>
      <c r="H14" s="44"/>
      <c r="I14" s="44"/>
      <c r="J14" s="28"/>
      <c r="K14" s="28"/>
      <c r="L14" s="28"/>
      <c r="M14" s="28"/>
    </row>
    <row r="15" spans="1:28" ht="66.5" customHeight="1">
      <c r="A15" s="28"/>
      <c r="B15" s="132"/>
      <c r="C15" s="42" t="s">
        <v>87</v>
      </c>
      <c r="D15" s="43">
        <f t="shared" si="0"/>
        <v>0</v>
      </c>
      <c r="E15" s="44"/>
      <c r="F15" s="44"/>
      <c r="G15" s="44"/>
      <c r="H15" s="44"/>
      <c r="I15" s="44"/>
      <c r="J15" s="28"/>
      <c r="K15" s="28"/>
      <c r="L15" s="28"/>
      <c r="M15" s="28"/>
    </row>
    <row r="16" spans="1:28" ht="66.5" customHeight="1">
      <c r="A16" s="28"/>
      <c r="B16" s="132"/>
      <c r="C16" s="42" t="s">
        <v>88</v>
      </c>
      <c r="D16" s="43">
        <f t="shared" si="0"/>
        <v>0</v>
      </c>
      <c r="E16" s="44"/>
      <c r="F16" s="44"/>
      <c r="G16" s="44"/>
      <c r="H16" s="44"/>
      <c r="I16" s="44"/>
      <c r="J16" s="28"/>
      <c r="K16" s="28"/>
      <c r="L16" s="28"/>
      <c r="M16" s="28"/>
    </row>
    <row r="17" spans="1:13" ht="66.5" customHeight="1" thickBot="1">
      <c r="A17" s="28"/>
      <c r="B17" s="132"/>
      <c r="C17" s="42" t="s">
        <v>89</v>
      </c>
      <c r="D17" s="43">
        <f t="shared" si="0"/>
        <v>0</v>
      </c>
      <c r="E17" s="44"/>
      <c r="F17" s="44"/>
      <c r="G17" s="44"/>
      <c r="H17" s="44"/>
      <c r="I17" s="44"/>
      <c r="J17" s="28"/>
      <c r="K17" s="28"/>
      <c r="L17" s="28"/>
      <c r="M17" s="28"/>
    </row>
    <row r="18" spans="1:13" ht="66.5" customHeight="1">
      <c r="A18" s="28"/>
      <c r="B18" s="131" t="s">
        <v>91</v>
      </c>
      <c r="C18" s="39" t="s">
        <v>92</v>
      </c>
      <c r="D18" s="46">
        <f t="shared" si="0"/>
        <v>1</v>
      </c>
      <c r="E18" s="47">
        <v>1</v>
      </c>
      <c r="F18" s="47"/>
      <c r="G18" s="47"/>
      <c r="H18" s="47"/>
      <c r="I18" s="47"/>
      <c r="J18" s="28"/>
      <c r="K18" s="28"/>
      <c r="L18" s="28"/>
      <c r="M18" s="28"/>
    </row>
    <row r="19" spans="1:13" ht="66.5" customHeight="1">
      <c r="A19" s="28"/>
      <c r="B19" s="132"/>
      <c r="C19" s="42" t="s">
        <v>93</v>
      </c>
      <c r="D19" s="43">
        <f t="shared" si="0"/>
        <v>0</v>
      </c>
      <c r="E19" s="44"/>
      <c r="F19" s="44"/>
      <c r="G19" s="44"/>
      <c r="H19" s="44"/>
      <c r="I19" s="44"/>
      <c r="J19" s="28"/>
      <c r="K19" s="28"/>
      <c r="L19" s="28"/>
      <c r="M19" s="28"/>
    </row>
    <row r="20" spans="1:13" ht="66.5" customHeight="1">
      <c r="A20" s="28"/>
      <c r="B20" s="132"/>
      <c r="C20" s="42" t="s">
        <v>94</v>
      </c>
      <c r="D20" s="43">
        <f t="shared" si="0"/>
        <v>0</v>
      </c>
      <c r="E20" s="44"/>
      <c r="F20" s="44"/>
      <c r="G20" s="44"/>
      <c r="H20" s="44"/>
      <c r="I20" s="44"/>
      <c r="J20" s="28"/>
      <c r="K20" s="28"/>
      <c r="L20" s="28"/>
      <c r="M20" s="28"/>
    </row>
    <row r="21" spans="1:13" ht="66.5" customHeight="1">
      <c r="A21" s="28"/>
      <c r="B21" s="132"/>
      <c r="C21" s="42" t="s">
        <v>95</v>
      </c>
      <c r="D21" s="43">
        <f t="shared" si="0"/>
        <v>0</v>
      </c>
      <c r="E21" s="44"/>
      <c r="F21" s="44"/>
      <c r="G21" s="44"/>
      <c r="H21" s="44"/>
      <c r="I21" s="44"/>
      <c r="J21" s="28"/>
      <c r="K21" s="28"/>
      <c r="L21" s="28"/>
      <c r="M21" s="28"/>
    </row>
    <row r="22" spans="1:13" ht="66.5" customHeight="1" thickBot="1">
      <c r="A22" s="28"/>
      <c r="B22" s="132"/>
      <c r="C22" s="42" t="s">
        <v>96</v>
      </c>
      <c r="D22" s="43">
        <f t="shared" si="0"/>
        <v>0</v>
      </c>
      <c r="E22" s="44"/>
      <c r="F22" s="44"/>
      <c r="G22" s="44"/>
      <c r="H22" s="44"/>
      <c r="I22" s="44"/>
      <c r="J22" s="28"/>
      <c r="K22" s="28"/>
      <c r="L22" s="28"/>
      <c r="M22" s="28"/>
    </row>
    <row r="23" spans="1:13" ht="66.5" customHeight="1" thickBot="1">
      <c r="A23" s="28"/>
      <c r="B23" s="133" t="s">
        <v>97</v>
      </c>
      <c r="C23" s="48" t="s">
        <v>98</v>
      </c>
      <c r="D23" s="43">
        <f t="shared" si="0"/>
        <v>0</v>
      </c>
      <c r="E23" s="41"/>
      <c r="F23" s="41"/>
      <c r="G23" s="41"/>
      <c r="H23" s="41"/>
      <c r="I23" s="41"/>
      <c r="J23" s="28"/>
      <c r="K23" s="28"/>
      <c r="L23" s="28"/>
      <c r="M23" s="28"/>
    </row>
    <row r="24" spans="1:13" ht="66.5" customHeight="1" thickBot="1">
      <c r="A24" s="28"/>
      <c r="B24" s="134"/>
      <c r="C24" s="48" t="s">
        <v>99</v>
      </c>
      <c r="D24" s="43">
        <f t="shared" si="0"/>
        <v>0</v>
      </c>
      <c r="E24" s="41"/>
      <c r="F24" s="41"/>
      <c r="G24" s="41"/>
      <c r="H24" s="41"/>
      <c r="I24" s="41"/>
      <c r="J24" s="28"/>
      <c r="K24" s="28"/>
      <c r="L24" s="28"/>
      <c r="M24" s="28"/>
    </row>
    <row r="25" spans="1:13" ht="66.5" customHeight="1" thickBot="1">
      <c r="A25" s="28"/>
      <c r="B25" s="134"/>
      <c r="C25" s="48" t="s">
        <v>100</v>
      </c>
      <c r="D25" s="43">
        <f t="shared" si="0"/>
        <v>0</v>
      </c>
      <c r="E25" s="41"/>
      <c r="F25" s="41"/>
      <c r="G25" s="41"/>
      <c r="H25" s="41"/>
      <c r="I25" s="41"/>
      <c r="J25" s="28"/>
      <c r="K25" s="28"/>
      <c r="L25" s="28"/>
      <c r="M25" s="28"/>
    </row>
    <row r="26" spans="1:13" ht="66.5" customHeight="1" thickBot="1">
      <c r="A26" s="28"/>
      <c r="B26" s="134"/>
      <c r="C26" s="48" t="s">
        <v>101</v>
      </c>
      <c r="D26" s="43">
        <f t="shared" si="0"/>
        <v>0</v>
      </c>
      <c r="E26" s="41"/>
      <c r="F26" s="41"/>
      <c r="G26" s="41"/>
      <c r="H26" s="41"/>
      <c r="I26" s="41"/>
      <c r="J26" s="28"/>
      <c r="K26" s="28"/>
      <c r="L26" s="28"/>
      <c r="M26" s="28"/>
    </row>
    <row r="27" spans="1:13" ht="66.5" customHeight="1" thickBot="1">
      <c r="A27" s="28"/>
      <c r="B27" s="134"/>
      <c r="C27" s="48" t="s">
        <v>102</v>
      </c>
      <c r="D27" s="43">
        <f t="shared" si="0"/>
        <v>0</v>
      </c>
      <c r="E27" s="41"/>
      <c r="F27" s="41"/>
      <c r="G27" s="41"/>
      <c r="H27" s="41"/>
      <c r="I27" s="41"/>
      <c r="J27" s="28"/>
      <c r="K27" s="28"/>
      <c r="L27" s="28"/>
      <c r="M27" s="28"/>
    </row>
    <row r="28" spans="1:13" ht="66.5" customHeight="1">
      <c r="A28" s="28"/>
      <c r="B28" s="133" t="s">
        <v>23</v>
      </c>
      <c r="C28" s="49" t="s">
        <v>103</v>
      </c>
      <c r="D28" s="43">
        <f t="shared" si="0"/>
        <v>0</v>
      </c>
      <c r="E28" s="41"/>
      <c r="F28" s="41"/>
      <c r="G28" s="41"/>
      <c r="H28" s="41"/>
      <c r="I28" s="41"/>
      <c r="J28" s="28"/>
      <c r="K28" s="28"/>
      <c r="L28" s="28"/>
      <c r="M28" s="28"/>
    </row>
    <row r="29" spans="1:13" ht="66.5" customHeight="1">
      <c r="A29" s="28"/>
      <c r="B29" s="134"/>
      <c r="C29" s="49" t="s">
        <v>104</v>
      </c>
      <c r="D29" s="43">
        <f t="shared" si="0"/>
        <v>0</v>
      </c>
      <c r="E29" s="41"/>
      <c r="F29" s="41"/>
      <c r="G29" s="41"/>
      <c r="H29" s="41"/>
      <c r="I29" s="41"/>
      <c r="J29" s="28"/>
      <c r="K29" s="28"/>
      <c r="L29" s="28"/>
      <c r="M29" s="28"/>
    </row>
    <row r="30" spans="1:13" ht="66.5" customHeight="1">
      <c r="A30" s="28"/>
      <c r="B30" s="134"/>
      <c r="C30" s="49" t="s">
        <v>105</v>
      </c>
      <c r="D30" s="43">
        <f t="shared" si="0"/>
        <v>0</v>
      </c>
      <c r="E30" s="41"/>
      <c r="F30" s="41"/>
      <c r="G30" s="41"/>
      <c r="H30" s="41"/>
      <c r="I30" s="41"/>
      <c r="J30" s="28"/>
      <c r="K30" s="28"/>
      <c r="L30" s="28"/>
      <c r="M30" s="28"/>
    </row>
    <row r="31" spans="1:13" ht="66.5" customHeight="1">
      <c r="A31" s="28"/>
      <c r="B31" s="134"/>
      <c r="C31" s="49" t="s">
        <v>106</v>
      </c>
      <c r="D31" s="43">
        <f t="shared" si="0"/>
        <v>0</v>
      </c>
      <c r="E31" s="41"/>
      <c r="F31" s="41"/>
      <c r="G31" s="41"/>
      <c r="H31" s="41"/>
      <c r="I31" s="41"/>
      <c r="J31" s="28"/>
      <c r="K31" s="28"/>
      <c r="L31" s="28"/>
      <c r="M31" s="28"/>
    </row>
    <row r="32" spans="1:13" ht="66.5" customHeight="1" thickBot="1">
      <c r="A32" s="28"/>
      <c r="B32" s="134"/>
      <c r="C32" s="49" t="s">
        <v>107</v>
      </c>
      <c r="D32" s="43">
        <f t="shared" si="0"/>
        <v>0</v>
      </c>
      <c r="E32" s="41"/>
      <c r="F32" s="41"/>
      <c r="G32" s="41"/>
      <c r="H32" s="41"/>
      <c r="I32" s="41"/>
      <c r="J32" s="28"/>
      <c r="K32" s="28"/>
      <c r="L32" s="28"/>
      <c r="M32" s="28"/>
    </row>
    <row r="33" spans="1:13" ht="66.5" customHeight="1" thickBot="1">
      <c r="A33" s="28"/>
      <c r="B33" s="133" t="s">
        <v>108</v>
      </c>
      <c r="C33" s="48" t="s">
        <v>109</v>
      </c>
      <c r="D33" s="43">
        <f t="shared" si="0"/>
        <v>0</v>
      </c>
      <c r="E33" s="41"/>
      <c r="F33" s="41"/>
      <c r="G33" s="41"/>
      <c r="H33" s="41"/>
      <c r="I33" s="41"/>
      <c r="J33" s="28"/>
      <c r="K33" s="28"/>
      <c r="L33" s="28"/>
      <c r="M33" s="28"/>
    </row>
    <row r="34" spans="1:13" ht="66.5" customHeight="1" thickBot="1">
      <c r="A34" s="28"/>
      <c r="B34" s="134"/>
      <c r="C34" s="48" t="s">
        <v>110</v>
      </c>
      <c r="D34" s="43">
        <f t="shared" si="0"/>
        <v>0</v>
      </c>
      <c r="E34" s="41"/>
      <c r="F34" s="41"/>
      <c r="G34" s="41"/>
      <c r="H34" s="41"/>
      <c r="I34" s="41"/>
      <c r="J34" s="28"/>
      <c r="K34" s="28"/>
      <c r="L34" s="28"/>
      <c r="M34" s="28"/>
    </row>
    <row r="35" spans="1:13" ht="66.5" customHeight="1" thickBot="1">
      <c r="A35" s="28"/>
      <c r="B35" s="134"/>
      <c r="C35" s="48" t="s">
        <v>111</v>
      </c>
      <c r="D35" s="43">
        <f t="shared" si="0"/>
        <v>0</v>
      </c>
      <c r="E35" s="41"/>
      <c r="F35" s="41"/>
      <c r="G35" s="41"/>
      <c r="H35" s="41"/>
      <c r="I35" s="41"/>
      <c r="J35" s="28"/>
      <c r="K35" s="28"/>
      <c r="L35" s="28"/>
      <c r="M35" s="28"/>
    </row>
    <row r="36" spans="1:13" ht="66.5" customHeight="1" thickBot="1">
      <c r="A36" s="28"/>
      <c r="B36" s="134"/>
      <c r="C36" s="48" t="s">
        <v>112</v>
      </c>
      <c r="D36" s="43">
        <f t="shared" si="0"/>
        <v>0</v>
      </c>
      <c r="E36" s="41"/>
      <c r="F36" s="41"/>
      <c r="G36" s="41"/>
      <c r="H36" s="41"/>
      <c r="I36" s="41"/>
      <c r="J36" s="28"/>
      <c r="K36" s="28"/>
      <c r="L36" s="28"/>
      <c r="M36" s="28"/>
    </row>
    <row r="37" spans="1:13" ht="66.5" customHeight="1">
      <c r="A37" s="28"/>
      <c r="B37" s="134"/>
      <c r="C37" s="48" t="s">
        <v>113</v>
      </c>
      <c r="D37" s="43">
        <f t="shared" si="0"/>
        <v>0</v>
      </c>
      <c r="E37" s="41"/>
      <c r="F37" s="41"/>
      <c r="G37" s="41"/>
      <c r="H37" s="41"/>
      <c r="I37" s="41"/>
      <c r="J37" s="28"/>
      <c r="K37" s="28"/>
      <c r="L37" s="28"/>
      <c r="M37" s="28"/>
    </row>
    <row r="38" spans="1:13" ht="66.5" customHeight="1"/>
    <row r="39" spans="1:13" ht="66.5" customHeight="1"/>
  </sheetData>
  <mergeCells count="7">
    <mergeCell ref="B2:K2"/>
    <mergeCell ref="B8:B12"/>
    <mergeCell ref="B33:B37"/>
    <mergeCell ref="B18:B22"/>
    <mergeCell ref="B13:B17"/>
    <mergeCell ref="B23:B27"/>
    <mergeCell ref="B28:B32"/>
  </mergeCells>
  <conditionalFormatting sqref="E8:I37">
    <cfRule type="cellIs" dxfId="24" priority="1" operator="greaterThanOrEqual">
      <formula>1</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EFE02759-ED22-4C80-95CF-36988DC3F7A4}">
          <x14:formula1>
            <xm:f>'Drop-Down Keys - Do Not Delete'!$C$3</xm:f>
          </x14:formula1>
          <xm:sqref>E8:E37</xm:sqref>
        </x14:dataValidation>
        <x14:dataValidation type="list" allowBlank="1" showInputMessage="1" showErrorMessage="1" xr:uid="{A839AF69-D3AC-457F-AB59-4F01B99D0B86}">
          <x14:formula1>
            <xm:f>'Drop-Down Keys - Do Not Delete'!$C$4</xm:f>
          </x14:formula1>
          <xm:sqref>F8:F37</xm:sqref>
        </x14:dataValidation>
        <x14:dataValidation type="list" allowBlank="1" showInputMessage="1" showErrorMessage="1" xr:uid="{250E8686-581F-420D-AD4A-DAD7D8AF2894}">
          <x14:formula1>
            <xm:f>'Drop-Down Keys - Do Not Delete'!$C$5</xm:f>
          </x14:formula1>
          <xm:sqref>G8:G37</xm:sqref>
        </x14:dataValidation>
        <x14:dataValidation type="list" allowBlank="1" showInputMessage="1" showErrorMessage="1" xr:uid="{6D3D3214-243B-4C5E-821F-C6EFEBBDF489}">
          <x14:formula1>
            <xm:f>'Drop-Down Keys - Do Not Delete'!$C$6</xm:f>
          </x14:formula1>
          <xm:sqref>H8:H37</xm:sqref>
        </x14:dataValidation>
        <x14:dataValidation type="list" allowBlank="1" showInputMessage="1" showErrorMessage="1" xr:uid="{3FB698CB-70C9-4479-A0A9-35D82AE9F144}">
          <x14:formula1>
            <xm:f>'Drop-Down Keys - Do Not Delete'!$C$7</xm:f>
          </x14:formula1>
          <xm:sqref>I8:I37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8"/>
  <sheetViews>
    <sheetView showGridLines="0" workbookViewId="0">
      <selection activeCell="D8" sqref="D8"/>
    </sheetView>
  </sheetViews>
  <sheetFormatPr defaultColWidth="29.33203125" defaultRowHeight="14"/>
  <cols>
    <col min="1" max="1" width="6" style="1" customWidth="1"/>
    <col min="2" max="10" width="29.33203125" style="1" customWidth="1"/>
    <col min="11" max="11" width="52.25" style="1" customWidth="1"/>
    <col min="12" max="12" width="27.1640625" style="1" customWidth="1"/>
    <col min="13" max="13" width="22.6640625" style="1" customWidth="1"/>
    <col min="14" max="15" width="29.33203125" style="1" customWidth="1"/>
    <col min="16" max="16383" width="29.33203125" style="1"/>
    <col min="16384" max="16384" width="19.33203125" style="1" customWidth="1"/>
  </cols>
  <sheetData>
    <row r="1" spans="2:7" ht="6.5" customHeight="1"/>
    <row r="2" spans="2:7" ht="31">
      <c r="B2" s="50" t="s">
        <v>29</v>
      </c>
      <c r="C2" s="50" t="s">
        <v>209</v>
      </c>
      <c r="D2" s="50" t="s">
        <v>210</v>
      </c>
      <c r="E2" s="50" t="s">
        <v>211</v>
      </c>
      <c r="F2" s="50" t="s">
        <v>212</v>
      </c>
      <c r="G2" s="50" t="s">
        <v>213</v>
      </c>
    </row>
    <row r="3" spans="2:7" ht="77.5">
      <c r="B3" s="51" t="s">
        <v>114</v>
      </c>
      <c r="C3" s="51" t="s">
        <v>214</v>
      </c>
      <c r="D3" s="51" t="s">
        <v>215</v>
      </c>
      <c r="E3" s="51" t="s">
        <v>216</v>
      </c>
      <c r="F3" s="51" t="s">
        <v>217</v>
      </c>
      <c r="G3" s="51" t="s">
        <v>218</v>
      </c>
    </row>
    <row r="4" spans="2:7" ht="77.5">
      <c r="B4" s="51" t="s">
        <v>116</v>
      </c>
      <c r="C4" s="51" t="s">
        <v>219</v>
      </c>
      <c r="D4" s="51" t="s">
        <v>220</v>
      </c>
      <c r="E4" s="51" t="s">
        <v>221</v>
      </c>
      <c r="F4" s="51" t="s">
        <v>222</v>
      </c>
      <c r="G4" s="51" t="s">
        <v>223</v>
      </c>
    </row>
    <row r="5" spans="2:7" ht="62">
      <c r="B5" s="51" t="s">
        <v>90</v>
      </c>
      <c r="C5" s="118" t="s">
        <v>228</v>
      </c>
      <c r="D5" s="117" t="s">
        <v>227</v>
      </c>
      <c r="E5" s="51" t="s">
        <v>226</v>
      </c>
      <c r="F5" s="51" t="s">
        <v>225</v>
      </c>
      <c r="G5" s="51" t="s">
        <v>224</v>
      </c>
    </row>
    <row r="6" spans="2:7" ht="62">
      <c r="B6" s="51" t="s">
        <v>118</v>
      </c>
      <c r="C6" s="51" t="s">
        <v>229</v>
      </c>
      <c r="D6" s="51" t="s">
        <v>230</v>
      </c>
      <c r="E6" s="51" t="s">
        <v>231</v>
      </c>
      <c r="F6" s="51" t="s">
        <v>232</v>
      </c>
      <c r="G6" s="51" t="s">
        <v>233</v>
      </c>
    </row>
    <row r="7" spans="2:7" ht="62">
      <c r="B7" s="51" t="s">
        <v>30</v>
      </c>
      <c r="C7" s="51" t="s">
        <v>234</v>
      </c>
      <c r="D7" s="51" t="s">
        <v>235</v>
      </c>
      <c r="E7" s="51" t="s">
        <v>236</v>
      </c>
      <c r="F7" s="51" t="s">
        <v>237</v>
      </c>
      <c r="G7" s="51" t="s">
        <v>238</v>
      </c>
    </row>
    <row r="8" spans="2:7" ht="77.5">
      <c r="B8" s="51" t="s">
        <v>119</v>
      </c>
      <c r="C8" s="51" t="s">
        <v>239</v>
      </c>
      <c r="D8" s="116" t="s">
        <v>240</v>
      </c>
      <c r="E8" s="51" t="s">
        <v>241</v>
      </c>
      <c r="F8" s="51" t="s">
        <v>242</v>
      </c>
      <c r="G8" s="51" t="s">
        <v>243</v>
      </c>
    </row>
  </sheetData>
  <conditionalFormatting sqref="D6:D7 D3:D4 D10:D23">
    <cfRule type="colorScale" priority="12">
      <colorScale>
        <cfvo type="min"/>
        <cfvo type="percentile" val="50"/>
        <cfvo type="max"/>
        <color rgb="FFFCA5A5"/>
        <color rgb="FFFDE68A"/>
        <color rgb="FF86EFAC"/>
      </colorScale>
    </cfRule>
  </conditionalFormatting>
  <dataValidations count="2">
    <dataValidation type="list" sqref="D10:D23" xr:uid="{00000000-0002-0000-0100-000000000000}">
      <formula1>"1,2,3,4,5"</formula1>
    </dataValidation>
    <dataValidation sqref="D3:D4 D6:D7" xr:uid="{A2452E83-3212-4950-BF55-CB19E6DB9A6E}"/>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6"/>
  <sheetViews>
    <sheetView showGridLines="0" topLeftCell="A3" workbookViewId="0">
      <selection activeCell="B15" sqref="B15"/>
    </sheetView>
  </sheetViews>
  <sheetFormatPr defaultColWidth="0" defaultRowHeight="14"/>
  <cols>
    <col min="1" max="1" width="34" style="1" customWidth="1"/>
    <col min="2" max="2" width="22" style="1" customWidth="1"/>
    <col min="3" max="3" width="31.83203125" style="1" customWidth="1"/>
    <col min="4" max="16384" width="8.6640625" style="1" hidden="1"/>
  </cols>
  <sheetData>
    <row r="1" spans="1:2" ht="22" customHeight="1">
      <c r="A1" s="135" t="s">
        <v>245</v>
      </c>
      <c r="B1" s="135"/>
    </row>
    <row r="2" spans="1:2" ht="22" customHeight="1"/>
    <row r="3" spans="1:2" ht="22" customHeight="1">
      <c r="A3" s="52" t="s">
        <v>29</v>
      </c>
      <c r="B3" s="52" t="s">
        <v>0</v>
      </c>
    </row>
    <row r="4" spans="1:2" ht="22" customHeight="1">
      <c r="A4" s="53" t="s">
        <v>114</v>
      </c>
      <c r="B4" s="54">
        <f>IFERROR(AVERAGEIF('Agentic Delivery Assessment'!D8:D12,"&gt;0",'Agentic Delivery Assessment'!D8:D12),"")</f>
        <v>2</v>
      </c>
    </row>
    <row r="5" spans="1:2" ht="22" customHeight="1">
      <c r="A5" s="55" t="s">
        <v>116</v>
      </c>
      <c r="B5" s="56" t="str">
        <f>IFERROR(AVERAGEIF('Agentic Delivery Assessment'!D13:D17,"&gt;0",'Agentic Delivery Assessment'!D13:D17),"")</f>
        <v/>
      </c>
    </row>
    <row r="6" spans="1:2" ht="22" customHeight="1">
      <c r="A6" s="55" t="s">
        <v>117</v>
      </c>
      <c r="B6" s="56">
        <f>IFERROR(AVERAGEIF('Agentic Delivery Assessment'!D18:D22,"&gt;0",'Agentic Delivery Assessment'!D18:D22),"")</f>
        <v>1</v>
      </c>
    </row>
    <row r="7" spans="1:2" ht="22" customHeight="1">
      <c r="A7" s="55" t="s">
        <v>118</v>
      </c>
      <c r="B7" s="56" t="str">
        <f>IFERROR(AVERAGEIF('Agentic Delivery Assessment'!D23:D27,"&gt;0",'Agentic Delivery Assessment'!D23:D27),"")</f>
        <v/>
      </c>
    </row>
    <row r="8" spans="1:2" ht="22" customHeight="1">
      <c r="A8" s="55" t="s">
        <v>30</v>
      </c>
      <c r="B8" s="56" t="str">
        <f>IFERROR(AVERAGEIF('Agentic Delivery Assessment'!D28:D32,"&gt;0",'Agentic Delivery Assessment'!D28:D32),"")</f>
        <v/>
      </c>
    </row>
    <row r="9" spans="1:2" ht="22" customHeight="1">
      <c r="A9" s="55" t="s">
        <v>119</v>
      </c>
      <c r="B9" s="56" t="str">
        <f>IFERROR(AVERAGEIF('Agentic Delivery Assessment'!D33:D37,"&gt;0",'Agentic Delivery Assessment'!D33:D37),"")</f>
        <v/>
      </c>
    </row>
    <row r="10" spans="1:2" ht="22" customHeight="1">
      <c r="A10" s="55" t="s">
        <v>138</v>
      </c>
      <c r="B10" s="56">
        <f>IFERROR(AVERAGEIF(B4:B9,"&gt;0",B4:B9),"")</f>
        <v>1.5</v>
      </c>
    </row>
    <row r="11" spans="1:2" ht="22" customHeight="1">
      <c r="A11" s="55" t="s">
        <v>139</v>
      </c>
      <c r="B11" s="57" t="str">
        <f>IF(B10="","Not Started",IF(B10&lt;2,"Assisted Delivery",IF(B10&lt;3,"Coordinated Agents",IF(B10&lt;4,"Governed Agentic Delivery",IF(B10&lt;4.5,"Scaled Agent Workforce","Autonomous Enterprise Delivery")))))</f>
        <v>Assisted Delivery</v>
      </c>
    </row>
    <row r="12" spans="1:2" ht="22" customHeight="1">
      <c r="A12" s="55" t="s">
        <v>31</v>
      </c>
      <c r="B12" s="57" t="str">
        <f>IF(B10="","Not Started",IF(B10&lt;2,"Critical Risk",IF(B10&lt;3,"High Risk",IF(B10&lt;4,"Moderate Risk",IF(B10&lt;4.5,"Low Risk","Minimal Risk")))))</f>
        <v>Critical Risk</v>
      </c>
    </row>
    <row r="13" spans="1:2" ht="22" customHeight="1">
      <c r="A13" s="58" t="s">
        <v>244</v>
      </c>
      <c r="B13" s="88">
        <f>IF(B10="","",ROUND((B10/5)*100,0))</f>
        <v>30</v>
      </c>
    </row>
    <row r="14" spans="1:2">
      <c r="A14" s="58" t="s">
        <v>5</v>
      </c>
      <c r="B14" s="89" t="str">
        <f>IF(B10="","",INDEX(A4:A9,MATCH(MAX(B4:B9),B4:B9,0)))</f>
        <v>Strategy &amp; Value</v>
      </c>
    </row>
    <row r="15" spans="1:2">
      <c r="A15" s="58" t="s">
        <v>6</v>
      </c>
      <c r="B15" s="89" t="str">
        <f>IF(B10="","",INDEX(A4:A9,MATCH(MIN(B4:B9),B4:B9,0)))</f>
        <v>Human-in-the-Loop</v>
      </c>
    </row>
    <row r="16" spans="1:2">
      <c r="A16" s="59" t="s">
        <v>32</v>
      </c>
      <c r="B16" s="90" t="str">
        <f>IF(COUNTIF('Agentic Delivery Assessment'!D8:D37,"&gt;0")=30,"Complete","In Progress")</f>
        <v>In Progress</v>
      </c>
    </row>
  </sheetData>
  <mergeCells count="1">
    <mergeCell ref="A1:B1"/>
  </mergeCells>
  <conditionalFormatting sqref="B4:B8">
    <cfRule type="colorScale" priority="1">
      <colorScale>
        <cfvo type="min"/>
        <cfvo type="percentile" val="50"/>
        <cfvo type="max"/>
        <color rgb="FFFCA5A5"/>
        <color rgb="FFFDE68A"/>
        <color rgb="FF86EFAC"/>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
  <sheetViews>
    <sheetView showGridLines="0" workbookViewId="0">
      <selection activeCell="C4" sqref="C4"/>
    </sheetView>
  </sheetViews>
  <sheetFormatPr defaultColWidth="15.1640625" defaultRowHeight="14"/>
  <cols>
    <col min="1" max="2" width="15.1640625" style="1"/>
    <col min="3" max="3" width="16.6640625" style="1" customWidth="1"/>
    <col min="4" max="16384" width="15.1640625" style="1"/>
  </cols>
  <sheetData>
    <row r="1" spans="1:4" ht="15.5">
      <c r="A1" s="50" t="s">
        <v>29</v>
      </c>
      <c r="B1" s="50" t="s">
        <v>0</v>
      </c>
      <c r="C1" s="50" t="s">
        <v>3</v>
      </c>
      <c r="D1" s="50" t="s">
        <v>31</v>
      </c>
    </row>
    <row r="2" spans="1:4" ht="15.5">
      <c r="A2" s="51" t="s">
        <v>114</v>
      </c>
      <c r="B2" s="60">
        <f>'Agentic Delivery Scoring Engine'!B4</f>
        <v>2</v>
      </c>
      <c r="C2" s="81" t="str">
        <f t="shared" ref="C2:C7" si="0">IF(B2="","",IF(B2&lt;2,"Assisted Delivery",IF(B2&lt;3,"Coordinated Agents",IF(B2&lt;4,"Governed Agentic Delivery",IF(B2&lt;4.5,"Scaled Agent Workforce","Autonomous Enterprise Delivery")))))</f>
        <v>Coordinated Agents</v>
      </c>
      <c r="D2" s="81" t="str">
        <f>IF(B2="","",IF(B2&lt;2,"Critical Risk",IF(B2&lt;3,"High Risk",IF(B2&lt;4,"Moderate Risk",IF(B2&lt;4.5,"Low Risk","Minimal Risk")))))</f>
        <v>High Risk</v>
      </c>
    </row>
    <row r="3" spans="1:4" ht="31">
      <c r="A3" s="51" t="s">
        <v>116</v>
      </c>
      <c r="B3" s="60" t="str">
        <f>'Agentic Delivery Scoring Engine'!B5</f>
        <v/>
      </c>
      <c r="C3" s="81" t="str">
        <f t="shared" si="0"/>
        <v/>
      </c>
      <c r="D3" s="81" t="str">
        <f t="shared" ref="D3:D7" si="1">IF(B3="","",IF(B3&lt;2,"Critical Risk",IF(B3&lt;3,"High Risk",IF(B3&lt;4,"Moderate Risk",IF(B3&lt;4.5,"Low Risk","Minimal Risk")))))</f>
        <v/>
      </c>
    </row>
    <row r="4" spans="1:4" ht="31">
      <c r="A4" s="51" t="s">
        <v>117</v>
      </c>
      <c r="B4" s="60">
        <f>'Agentic Delivery Scoring Engine'!B6</f>
        <v>1</v>
      </c>
      <c r="C4" s="81" t="str">
        <f t="shared" si="0"/>
        <v>Assisted Delivery</v>
      </c>
      <c r="D4" s="81" t="str">
        <f t="shared" si="1"/>
        <v>Critical Risk</v>
      </c>
    </row>
    <row r="5" spans="1:4" ht="31">
      <c r="A5" s="51" t="s">
        <v>118</v>
      </c>
      <c r="B5" s="60" t="str">
        <f>'Agentic Delivery Scoring Engine'!B7</f>
        <v/>
      </c>
      <c r="C5" s="81" t="str">
        <f t="shared" si="0"/>
        <v/>
      </c>
      <c r="D5" s="81" t="str">
        <f t="shared" si="1"/>
        <v/>
      </c>
    </row>
    <row r="6" spans="1:4" ht="31">
      <c r="A6" s="51" t="s">
        <v>30</v>
      </c>
      <c r="B6" s="60" t="str">
        <f>'Agentic Delivery Scoring Engine'!B8</f>
        <v/>
      </c>
      <c r="C6" s="81" t="str">
        <f t="shared" si="0"/>
        <v/>
      </c>
      <c r="D6" s="81" t="str">
        <f t="shared" si="1"/>
        <v/>
      </c>
    </row>
    <row r="7" spans="1:4" ht="31">
      <c r="A7" s="51" t="s">
        <v>119</v>
      </c>
      <c r="B7" s="60" t="str">
        <f>'Agentic Delivery Scoring Engine'!B9</f>
        <v/>
      </c>
      <c r="C7" s="81" t="str">
        <f t="shared" si="0"/>
        <v/>
      </c>
      <c r="D7" s="81" t="str">
        <f t="shared" si="1"/>
        <v/>
      </c>
    </row>
  </sheetData>
  <conditionalFormatting sqref="B2:B7">
    <cfRule type="cellIs" dxfId="23" priority="1" operator="greaterThan">
      <formula>4</formula>
    </cfRule>
    <cfRule type="cellIs" dxfId="22" priority="2" operator="between">
      <formula>3</formula>
      <formula>3.99</formula>
    </cfRule>
    <cfRule type="cellIs" dxfId="21" priority="3" operator="lessThan">
      <formula>3</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636B2-EDCE-4521-AC70-33DE859BD008}">
  <dimension ref="A1:AC57"/>
  <sheetViews>
    <sheetView topLeftCell="A4" workbookViewId="0">
      <selection activeCell="E9" sqref="E9"/>
    </sheetView>
  </sheetViews>
  <sheetFormatPr defaultColWidth="10.83203125" defaultRowHeight="15.5"/>
  <cols>
    <col min="1" max="1" width="3.33203125" style="65" customWidth="1"/>
    <col min="2" max="2" width="29.83203125" style="70" customWidth="1"/>
    <col min="3" max="3" width="12.83203125" style="70" customWidth="1"/>
    <col min="4" max="4" width="3.33203125" style="65" customWidth="1"/>
    <col min="5" max="16384" width="10.83203125" style="70"/>
  </cols>
  <sheetData>
    <row r="1" spans="1:29" s="65" customFormat="1" ht="42" customHeight="1" thickBot="1">
      <c r="B1" s="66" t="s">
        <v>62</v>
      </c>
      <c r="C1" s="67"/>
      <c r="D1" s="67"/>
      <c r="E1" s="67"/>
      <c r="F1" s="67"/>
      <c r="G1" s="67"/>
      <c r="O1" s="68"/>
      <c r="P1" s="68"/>
      <c r="Q1" s="68"/>
      <c r="R1" s="68"/>
      <c r="S1" s="68"/>
      <c r="T1" s="68"/>
      <c r="U1" s="68"/>
      <c r="V1" s="68"/>
      <c r="W1" s="68"/>
      <c r="X1" s="68"/>
      <c r="Y1" s="68"/>
      <c r="Z1" s="68"/>
      <c r="AA1" s="68"/>
      <c r="AB1" s="68"/>
      <c r="AC1" s="68"/>
    </row>
    <row r="2" spans="1:29" ht="25" customHeight="1" thickTop="1">
      <c r="A2" s="68"/>
      <c r="B2" s="69" t="s">
        <v>63</v>
      </c>
      <c r="C2" s="69" t="s">
        <v>64</v>
      </c>
      <c r="D2" s="68"/>
    </row>
    <row r="3" spans="1:29" ht="35.15" customHeight="1">
      <c r="A3" s="68"/>
      <c r="B3" s="71" t="s">
        <v>194</v>
      </c>
      <c r="C3" s="72">
        <v>1</v>
      </c>
      <c r="D3" s="68"/>
    </row>
    <row r="4" spans="1:29" ht="35.15" customHeight="1">
      <c r="A4" s="68"/>
      <c r="B4" s="71" t="s">
        <v>196</v>
      </c>
      <c r="C4" s="72">
        <v>2</v>
      </c>
      <c r="D4" s="68"/>
    </row>
    <row r="5" spans="1:29" ht="35.15" customHeight="1">
      <c r="A5" s="68"/>
      <c r="B5" s="71" t="s">
        <v>198</v>
      </c>
      <c r="C5" s="73">
        <v>3</v>
      </c>
      <c r="D5" s="68"/>
    </row>
    <row r="6" spans="1:29" ht="35.15" customHeight="1">
      <c r="A6" s="68"/>
      <c r="B6" s="74" t="s">
        <v>200</v>
      </c>
      <c r="C6" s="77">
        <v>4</v>
      </c>
      <c r="D6" s="68"/>
    </row>
    <row r="7" spans="1:29" ht="35.15" customHeight="1">
      <c r="A7" s="68"/>
      <c r="B7" s="74" t="s">
        <v>202</v>
      </c>
      <c r="C7" s="77">
        <v>5</v>
      </c>
      <c r="D7" s="68"/>
    </row>
    <row r="8" spans="1:29" ht="35.15" customHeight="1">
      <c r="A8" s="68"/>
      <c r="B8" s="75"/>
      <c r="C8" s="76">
        <v>0</v>
      </c>
      <c r="D8" s="68"/>
    </row>
    <row r="9" spans="1:29">
      <c r="A9" s="68"/>
      <c r="B9" s="75"/>
      <c r="C9" s="75"/>
      <c r="D9" s="68"/>
    </row>
    <row r="10" spans="1:29">
      <c r="A10" s="68"/>
      <c r="B10" s="75"/>
      <c r="C10" s="75"/>
      <c r="D10" s="68"/>
    </row>
    <row r="11" spans="1:29">
      <c r="A11" s="68"/>
      <c r="B11" s="75"/>
      <c r="C11" s="75"/>
      <c r="D11" s="68"/>
    </row>
    <row r="12" spans="1:29">
      <c r="A12" s="68"/>
      <c r="B12" s="75"/>
      <c r="C12" s="75"/>
      <c r="D12" s="68"/>
    </row>
    <row r="13" spans="1:29">
      <c r="A13" s="68"/>
      <c r="B13" s="75"/>
      <c r="D13" s="68"/>
    </row>
    <row r="14" spans="1:29">
      <c r="A14" s="68"/>
      <c r="B14" s="75"/>
      <c r="D14" s="68"/>
    </row>
    <row r="15" spans="1:29">
      <c r="A15" s="68"/>
      <c r="B15" s="75"/>
      <c r="D15" s="68"/>
    </row>
    <row r="16" spans="1:29">
      <c r="A16" s="68"/>
      <c r="B16" s="75"/>
      <c r="D16" s="68"/>
    </row>
    <row r="17" spans="1:4">
      <c r="A17" s="68"/>
      <c r="B17" s="75"/>
      <c r="D17" s="68"/>
    </row>
    <row r="18" spans="1:4">
      <c r="A18" s="68"/>
      <c r="B18" s="75"/>
      <c r="D18" s="68"/>
    </row>
    <row r="19" spans="1:4">
      <c r="A19" s="68"/>
      <c r="B19" s="75"/>
      <c r="D19" s="68"/>
    </row>
    <row r="20" spans="1:4">
      <c r="A20" s="68"/>
      <c r="B20" s="75"/>
      <c r="D20" s="68"/>
    </row>
    <row r="21" spans="1:4">
      <c r="A21" s="68"/>
      <c r="B21" s="75"/>
      <c r="D21" s="68"/>
    </row>
    <row r="22" spans="1:4">
      <c r="A22" s="68"/>
      <c r="B22" s="75"/>
      <c r="D22" s="68"/>
    </row>
    <row r="23" spans="1:4">
      <c r="A23" s="68"/>
      <c r="B23" s="75"/>
      <c r="D23" s="68"/>
    </row>
    <row r="24" spans="1:4">
      <c r="A24" s="68"/>
      <c r="B24" s="75"/>
      <c r="D24" s="68"/>
    </row>
    <row r="25" spans="1:4">
      <c r="A25" s="68"/>
      <c r="B25" s="75"/>
      <c r="D25" s="68"/>
    </row>
    <row r="26" spans="1:4">
      <c r="A26" s="68"/>
      <c r="B26" s="75"/>
      <c r="D26" s="68"/>
    </row>
    <row r="27" spans="1:4">
      <c r="A27" s="68"/>
      <c r="B27" s="75"/>
      <c r="D27" s="68"/>
    </row>
    <row r="28" spans="1:4">
      <c r="A28" s="70"/>
      <c r="B28" s="75"/>
      <c r="D28" s="70"/>
    </row>
    <row r="29" spans="1:4">
      <c r="A29" s="68"/>
      <c r="D29" s="68"/>
    </row>
    <row r="30" spans="1:4">
      <c r="A30" s="68"/>
      <c r="D30" s="68"/>
    </row>
    <row r="31" spans="1:4">
      <c r="A31" s="68"/>
      <c r="D31" s="68"/>
    </row>
    <row r="32" spans="1:4">
      <c r="A32" s="68"/>
      <c r="D32" s="68"/>
    </row>
    <row r="33" spans="1:4">
      <c r="A33" s="68"/>
      <c r="D33" s="68"/>
    </row>
    <row r="34" spans="1:4">
      <c r="A34" s="68"/>
      <c r="D34" s="68"/>
    </row>
    <row r="35" spans="1:4">
      <c r="A35" s="68"/>
      <c r="D35" s="68"/>
    </row>
    <row r="36" spans="1:4">
      <c r="A36" s="68"/>
      <c r="D36" s="68"/>
    </row>
    <row r="37" spans="1:4">
      <c r="A37" s="68"/>
      <c r="D37" s="68"/>
    </row>
    <row r="38" spans="1:4">
      <c r="A38" s="68"/>
      <c r="D38" s="68"/>
    </row>
    <row r="39" spans="1:4">
      <c r="A39" s="68"/>
      <c r="D39" s="68"/>
    </row>
    <row r="40" spans="1:4">
      <c r="A40" s="68"/>
      <c r="D40" s="68"/>
    </row>
    <row r="41" spans="1:4">
      <c r="A41" s="68"/>
      <c r="D41" s="68"/>
    </row>
    <row r="42" spans="1:4">
      <c r="A42" s="68"/>
      <c r="D42" s="68"/>
    </row>
    <row r="43" spans="1:4">
      <c r="A43" s="68"/>
      <c r="D43" s="68"/>
    </row>
    <row r="44" spans="1:4">
      <c r="A44" s="68"/>
      <c r="D44" s="68"/>
    </row>
    <row r="45" spans="1:4">
      <c r="A45" s="68"/>
      <c r="D45" s="68"/>
    </row>
    <row r="46" spans="1:4">
      <c r="A46" s="68"/>
      <c r="D46" s="68"/>
    </row>
    <row r="47" spans="1:4">
      <c r="A47" s="68"/>
      <c r="D47" s="68"/>
    </row>
    <row r="48" spans="1:4">
      <c r="A48" s="68"/>
      <c r="D48" s="68"/>
    </row>
    <row r="49" spans="1:4">
      <c r="A49" s="68"/>
      <c r="D49" s="68"/>
    </row>
    <row r="50" spans="1:4">
      <c r="A50" s="68"/>
      <c r="D50" s="68"/>
    </row>
    <row r="51" spans="1:4">
      <c r="A51" s="68"/>
      <c r="D51" s="68"/>
    </row>
    <row r="52" spans="1:4">
      <c r="A52" s="68"/>
      <c r="D52" s="68"/>
    </row>
    <row r="53" spans="1:4">
      <c r="A53" s="68"/>
      <c r="D53" s="68"/>
    </row>
    <row r="54" spans="1:4">
      <c r="A54" s="68"/>
      <c r="D54" s="68"/>
    </row>
    <row r="55" spans="1:4">
      <c r="A55" s="68"/>
      <c r="D55" s="68"/>
    </row>
    <row r="56" spans="1:4">
      <c r="A56" s="68"/>
      <c r="D56" s="68"/>
    </row>
    <row r="57" spans="1:4">
      <c r="A57" s="68"/>
      <c r="D57" s="68"/>
    </row>
  </sheetData>
  <conditionalFormatting sqref="C3 C5:C7">
    <cfRule type="containsText" dxfId="20" priority="1" operator="containsText" text="5">
      <formula>NOT(ISERROR(SEARCH("5",C3)))</formula>
    </cfRule>
    <cfRule type="containsText" dxfId="19" priority="2" operator="containsText" text="4">
      <formula>NOT(ISERROR(SEARCH("4",C3)))</formula>
    </cfRule>
    <cfRule type="containsText" dxfId="18" priority="3" operator="containsText" text="3">
      <formula>NOT(ISERROR(SEARCH("3",C3)))</formula>
    </cfRule>
    <cfRule type="containsText" dxfId="17" priority="4" operator="containsText" text="2">
      <formula>NOT(ISERROR(SEARCH("2",C3)))</formula>
    </cfRule>
    <cfRule type="containsText" dxfId="16" priority="5" operator="containsText" text="1">
      <formula>NOT(ISERROR(SEARCH("1",C3)))</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95"/>
  <sheetViews>
    <sheetView showGridLines="0" topLeftCell="A4" zoomScale="40" zoomScaleNormal="40" workbookViewId="0">
      <selection activeCell="F6" sqref="F6"/>
    </sheetView>
  </sheetViews>
  <sheetFormatPr defaultColWidth="0" defaultRowHeight="14"/>
  <cols>
    <col min="1" max="1" width="34.33203125" customWidth="1"/>
    <col min="2" max="2" width="47.83203125" customWidth="1"/>
    <col min="3" max="4" width="37.83203125" style="1" customWidth="1"/>
    <col min="5" max="5" width="55" customWidth="1"/>
    <col min="6" max="6" width="113.6640625" customWidth="1"/>
    <col min="7" max="7" width="40" customWidth="1"/>
    <col min="8" max="8" width="25" customWidth="1"/>
    <col min="9" max="14" width="14" customWidth="1"/>
    <col min="15" max="34" width="8.6640625" customWidth="1"/>
    <col min="35" max="16384" width="8.6640625" hidden="1"/>
  </cols>
  <sheetData>
    <row r="1" spans="1:28" ht="20">
      <c r="A1" s="121" t="s">
        <v>247</v>
      </c>
      <c r="B1" s="123"/>
      <c r="C1" s="123"/>
      <c r="D1" s="123"/>
      <c r="E1" s="123"/>
      <c r="F1" s="123"/>
      <c r="G1" s="123"/>
      <c r="H1" s="123"/>
      <c r="I1" s="123"/>
      <c r="J1" s="123"/>
      <c r="K1" s="123"/>
      <c r="L1" s="123"/>
      <c r="M1" s="123"/>
      <c r="N1" s="123"/>
      <c r="O1" s="2"/>
      <c r="P1" s="2"/>
      <c r="Q1" s="2"/>
      <c r="R1" s="2"/>
      <c r="S1" s="2"/>
      <c r="T1" s="2"/>
      <c r="U1" s="2"/>
      <c r="V1" s="2"/>
      <c r="W1" s="2"/>
      <c r="X1" s="2"/>
      <c r="Y1" s="2"/>
      <c r="Z1" s="2"/>
      <c r="AA1" s="2"/>
      <c r="AB1" s="2"/>
    </row>
    <row r="2" spans="1:28">
      <c r="A2" s="2"/>
      <c r="B2" s="2"/>
      <c r="C2" s="10"/>
      <c r="D2" s="10"/>
      <c r="E2" s="2"/>
      <c r="F2" s="2"/>
      <c r="G2" s="2"/>
      <c r="H2" s="2"/>
      <c r="I2" s="2"/>
      <c r="J2" s="2"/>
      <c r="K2" s="2"/>
      <c r="L2" s="2"/>
      <c r="M2" s="2"/>
      <c r="N2" s="2"/>
      <c r="O2" s="2"/>
      <c r="P2" s="2"/>
      <c r="Q2" s="2"/>
      <c r="R2" s="2"/>
      <c r="S2" s="2"/>
      <c r="T2" s="2"/>
      <c r="U2" s="2"/>
      <c r="V2" s="2"/>
      <c r="W2" s="2"/>
      <c r="X2" s="2"/>
      <c r="Y2" s="2"/>
      <c r="Z2" s="2"/>
      <c r="AA2" s="2"/>
      <c r="AB2" s="2"/>
    </row>
    <row r="3" spans="1:28" ht="30">
      <c r="A3" s="5" t="s">
        <v>138</v>
      </c>
      <c r="B3" s="106">
        <f>'Agentic Delivery Scoring Engine'!B10</f>
        <v>1.5</v>
      </c>
      <c r="C3" s="5" t="s">
        <v>207</v>
      </c>
      <c r="D3" s="108">
        <f>'Agentic Delivery Scoring Engine'!B13</f>
        <v>30</v>
      </c>
      <c r="E3" s="6" t="s">
        <v>4</v>
      </c>
      <c r="F3" s="107" t="str">
        <f>'Agentic Delivery Scoring Engine'!B11</f>
        <v>Assisted Delivery</v>
      </c>
      <c r="G3" s="2"/>
      <c r="I3" s="2"/>
      <c r="J3" s="2"/>
      <c r="K3" s="2"/>
      <c r="L3" s="2"/>
      <c r="M3" s="2"/>
      <c r="N3" s="2"/>
      <c r="O3" s="2"/>
      <c r="P3" s="2"/>
      <c r="Q3" s="2"/>
      <c r="R3" s="2"/>
      <c r="S3" s="2"/>
      <c r="T3" s="2"/>
      <c r="U3" s="2"/>
      <c r="V3" s="2"/>
      <c r="W3" s="2"/>
      <c r="X3" s="2"/>
      <c r="Y3" s="2"/>
      <c r="Z3" s="2"/>
      <c r="AA3" s="2"/>
      <c r="AB3" s="2"/>
    </row>
    <row r="4" spans="1:28" ht="30">
      <c r="A4" s="5" t="s">
        <v>7</v>
      </c>
      <c r="B4" s="106" t="str">
        <f>'Agentic Delivery Scoring Engine'!B12</f>
        <v>Critical Risk</v>
      </c>
      <c r="C4" s="5" t="s">
        <v>120</v>
      </c>
      <c r="D4" s="106" t="str">
        <f>INDEX('Agentic Delivery Scoring Engine'!A4:A9,MATCH(MAX('Agentic Delivery Scoring Engine'!B4:B9),'Agentic Delivery Scoring Engine'!B4:B9,0))</f>
        <v>Strategy &amp; Value</v>
      </c>
      <c r="E4" s="6" t="s">
        <v>121</v>
      </c>
      <c r="F4" s="107" t="str">
        <f>'Agentic Delivery Scoring Engine'!B15</f>
        <v>Human-in-the-Loop</v>
      </c>
      <c r="G4" s="2"/>
      <c r="I4" s="2"/>
      <c r="J4" s="2"/>
      <c r="K4" s="2"/>
      <c r="L4" s="2"/>
      <c r="M4" s="2"/>
      <c r="N4" s="2"/>
      <c r="O4" s="2"/>
      <c r="P4" s="2"/>
      <c r="Q4" s="2"/>
      <c r="R4" s="2"/>
      <c r="S4" s="2"/>
      <c r="T4" s="2"/>
      <c r="U4" s="2"/>
      <c r="V4" s="2"/>
      <c r="W4" s="2"/>
      <c r="X4" s="2"/>
      <c r="Y4" s="2"/>
      <c r="Z4" s="2"/>
      <c r="AA4" s="2"/>
      <c r="AB4" s="2"/>
    </row>
    <row r="5" spans="1:28" ht="49" customHeight="1">
      <c r="A5" s="6" t="s">
        <v>8</v>
      </c>
      <c r="B5" s="111" t="str">
        <f>IF('Agentic Delivery Scoring Engine'!B10&lt;3,"Establish foundational Agentic Delivery capabilities including governance, human oversight, agent workforce design and delivery controls.",IF('Agentic Delivery Scoring Engine'!B10&lt;4,"Strengthen operating models, governance frameworks, human-in-the-loop controls and technology capabilities to scale agent-enabled delivery.","Focus on scaling autonomous delivery capabilities, value realisation, workforce optimisation and continuous improvement across the agent ecosystem."))</f>
        <v>Establish foundational Agentic Delivery capabilities including governance, human oversight, agent workforce design and delivery controls.</v>
      </c>
      <c r="C5" s="5" t="s">
        <v>122</v>
      </c>
      <c r="D5" s="120">
        <f>'Agentic Delivery Scoring Engine'!B6</f>
        <v>1</v>
      </c>
      <c r="E5" s="110" t="s">
        <v>249</v>
      </c>
      <c r="F5" s="109" t="str">
        <f>IF(B6&lt;2,"Low Human Oversight Readiness",IF(B6&lt;3,"Developing Human Oversight Readiness",IF(B6&lt;4,"Managed Human Oversight Readiness",IF(B6&lt;4.5,"Strong Human Oversight Readiness","Optimised Human Oversight Readiness"))))</f>
        <v>Low Human Oversight Readiness</v>
      </c>
      <c r="G5" s="2"/>
      <c r="I5" s="2"/>
      <c r="J5" s="2"/>
      <c r="K5" s="2"/>
      <c r="L5" s="2"/>
      <c r="M5" s="2"/>
      <c r="N5" s="2"/>
      <c r="O5" s="2"/>
      <c r="P5" s="2"/>
      <c r="Q5" s="2"/>
      <c r="R5" s="2"/>
      <c r="S5" s="2"/>
      <c r="T5" s="2"/>
      <c r="U5" s="2"/>
      <c r="V5" s="2"/>
      <c r="W5" s="2"/>
      <c r="X5" s="2"/>
      <c r="Y5" s="2"/>
      <c r="Z5" s="2"/>
      <c r="AA5" s="2"/>
      <c r="AB5" s="2"/>
    </row>
    <row r="6" spans="1:28">
      <c r="A6" s="2"/>
      <c r="B6" s="2"/>
      <c r="C6" s="10"/>
      <c r="D6" s="10"/>
      <c r="E6" s="2"/>
      <c r="F6" s="2"/>
      <c r="G6" s="2"/>
      <c r="H6" s="2"/>
      <c r="I6" s="2"/>
      <c r="J6" s="2"/>
      <c r="K6" s="2"/>
      <c r="L6" s="2"/>
      <c r="M6" s="2"/>
      <c r="N6" s="2"/>
      <c r="O6" s="2"/>
      <c r="P6" s="2"/>
      <c r="Q6" s="2"/>
      <c r="R6" s="2"/>
      <c r="S6" s="2"/>
      <c r="T6" s="2"/>
      <c r="U6" s="2"/>
      <c r="V6" s="2"/>
      <c r="W6" s="2"/>
      <c r="X6" s="2"/>
      <c r="Y6" s="2"/>
      <c r="Z6" s="2"/>
      <c r="AA6" s="2"/>
      <c r="AB6" s="2"/>
    </row>
    <row r="7" spans="1:28" s="9" customFormat="1">
      <c r="A7" s="7" t="s">
        <v>1</v>
      </c>
      <c r="B7" s="7" t="s">
        <v>0</v>
      </c>
      <c r="C7" s="7" t="s">
        <v>2</v>
      </c>
      <c r="F7" s="8"/>
      <c r="G7" s="8"/>
      <c r="H7" s="8"/>
      <c r="I7" s="8"/>
      <c r="J7" s="8"/>
      <c r="K7" s="8"/>
      <c r="L7" s="8"/>
      <c r="M7" s="8"/>
      <c r="N7" s="8"/>
      <c r="O7" s="8"/>
      <c r="P7" s="8"/>
      <c r="Q7" s="8"/>
      <c r="R7" s="8"/>
      <c r="S7" s="8"/>
      <c r="T7" s="8"/>
      <c r="U7" s="8"/>
      <c r="V7" s="8"/>
      <c r="W7" s="8"/>
      <c r="X7" s="8"/>
      <c r="Y7" s="8"/>
      <c r="Z7" s="8"/>
      <c r="AA7" s="8"/>
      <c r="AB7" s="8"/>
    </row>
    <row r="8" spans="1:28">
      <c r="A8" s="4" t="s">
        <v>114</v>
      </c>
      <c r="B8" s="104">
        <f>'Agentic Delivery Heatmap'!B2</f>
        <v>2</v>
      </c>
      <c r="C8" s="104" t="str">
        <f>'Agentic Delivery Heatmap'!C2</f>
        <v>Coordinated Agents</v>
      </c>
      <c r="D8" s="9"/>
      <c r="F8" s="2"/>
      <c r="G8" s="2"/>
      <c r="H8" s="2"/>
      <c r="I8" s="2"/>
      <c r="J8" s="2"/>
      <c r="K8" s="2"/>
      <c r="L8" s="2"/>
      <c r="M8" s="2"/>
      <c r="N8" s="2"/>
      <c r="O8" s="2"/>
      <c r="P8" s="2"/>
      <c r="Q8" s="2"/>
      <c r="R8" s="2"/>
      <c r="S8" s="2"/>
      <c r="T8" s="2"/>
      <c r="U8" s="2"/>
      <c r="V8" s="2"/>
      <c r="W8" s="2"/>
      <c r="X8" s="2"/>
      <c r="Y8" s="2"/>
      <c r="Z8" s="2"/>
      <c r="AA8" s="2"/>
      <c r="AB8" s="2"/>
    </row>
    <row r="9" spans="1:28">
      <c r="A9" s="4" t="s">
        <v>116</v>
      </c>
      <c r="B9" s="104" t="str">
        <f>'Agentic Delivery Heatmap'!B3</f>
        <v/>
      </c>
      <c r="C9" s="104" t="str">
        <f>'Agentic Delivery Heatmap'!C3</f>
        <v/>
      </c>
      <c r="D9" s="9"/>
      <c r="F9" s="2"/>
      <c r="G9" s="2"/>
      <c r="H9" s="2"/>
      <c r="I9" s="2"/>
      <c r="J9" s="2"/>
      <c r="K9" s="2"/>
      <c r="L9" s="2"/>
      <c r="M9" s="2"/>
      <c r="N9" s="2"/>
      <c r="O9" s="2"/>
      <c r="P9" s="2"/>
      <c r="Q9" s="2"/>
      <c r="R9" s="2"/>
      <c r="S9" s="2"/>
      <c r="T9" s="2"/>
      <c r="U9" s="2"/>
      <c r="V9" s="2"/>
      <c r="W9" s="2"/>
      <c r="X9" s="2"/>
      <c r="Y9" s="2"/>
      <c r="Z9" s="2"/>
      <c r="AA9" s="2"/>
      <c r="AB9" s="2"/>
    </row>
    <row r="10" spans="1:28">
      <c r="A10" s="4" t="s">
        <v>117</v>
      </c>
      <c r="B10" s="104">
        <f>'Agentic Delivery Heatmap'!B4</f>
        <v>1</v>
      </c>
      <c r="C10" s="104" t="str">
        <f>'Agentic Delivery Heatmap'!C4</f>
        <v>Assisted Delivery</v>
      </c>
      <c r="D10" s="9"/>
      <c r="F10" s="2"/>
      <c r="G10" s="2"/>
      <c r="H10" s="2"/>
      <c r="I10" s="2"/>
      <c r="J10" s="2"/>
      <c r="K10" s="2"/>
      <c r="L10" s="2"/>
      <c r="M10" s="2"/>
      <c r="N10" s="2"/>
      <c r="O10" s="2"/>
      <c r="P10" s="2"/>
      <c r="Q10" s="2"/>
      <c r="R10" s="2"/>
      <c r="S10" s="2"/>
      <c r="T10" s="2"/>
      <c r="U10" s="2"/>
      <c r="V10" s="2"/>
      <c r="W10" s="2"/>
      <c r="X10" s="2"/>
      <c r="Y10" s="2"/>
      <c r="Z10" s="2"/>
      <c r="AA10" s="2"/>
      <c r="AB10" s="2"/>
    </row>
    <row r="11" spans="1:28">
      <c r="A11" s="4" t="s">
        <v>118</v>
      </c>
      <c r="B11" s="104" t="str">
        <f>'Agentic Delivery Heatmap'!B5</f>
        <v/>
      </c>
      <c r="C11" s="104" t="str">
        <f>'Agentic Delivery Heatmap'!C5</f>
        <v/>
      </c>
      <c r="D11" s="9"/>
      <c r="F11" s="2"/>
      <c r="G11" s="2"/>
      <c r="H11" s="2"/>
      <c r="I11" s="2"/>
      <c r="J11" s="2"/>
      <c r="K11" s="2"/>
      <c r="L11" s="2"/>
      <c r="M11" s="2"/>
      <c r="N11" s="2"/>
      <c r="O11" s="2"/>
      <c r="P11" s="2"/>
      <c r="Q11" s="2"/>
      <c r="R11" s="2"/>
      <c r="S11" s="2"/>
      <c r="T11" s="2"/>
      <c r="U11" s="2"/>
      <c r="V11" s="2"/>
      <c r="W11" s="2"/>
      <c r="X11" s="2"/>
      <c r="Y11" s="2"/>
      <c r="Z11" s="2"/>
      <c r="AA11" s="2"/>
      <c r="AB11" s="2"/>
    </row>
    <row r="12" spans="1:28">
      <c r="A12" s="4" t="s">
        <v>30</v>
      </c>
      <c r="B12" s="104" t="str">
        <f>'Agentic Delivery Heatmap'!B6</f>
        <v/>
      </c>
      <c r="C12" s="104" t="str">
        <f>'Agentic Delivery Heatmap'!C6</f>
        <v/>
      </c>
      <c r="D12" s="9"/>
      <c r="F12" s="2"/>
      <c r="G12" s="2"/>
      <c r="H12" s="2"/>
      <c r="I12" s="2"/>
      <c r="J12" s="2"/>
      <c r="K12" s="2"/>
      <c r="L12" s="2"/>
      <c r="M12" s="2"/>
      <c r="N12" s="2"/>
      <c r="O12" s="2"/>
      <c r="P12" s="2"/>
      <c r="Q12" s="2"/>
      <c r="R12" s="2"/>
      <c r="S12" s="2"/>
      <c r="T12" s="2"/>
      <c r="U12" s="2"/>
      <c r="V12" s="2"/>
      <c r="W12" s="2"/>
      <c r="X12" s="2"/>
      <c r="Y12" s="2"/>
      <c r="Z12" s="2"/>
      <c r="AA12" s="2"/>
      <c r="AB12" s="2"/>
    </row>
    <row r="13" spans="1:28">
      <c r="A13" s="4" t="s">
        <v>119</v>
      </c>
      <c r="B13" s="104" t="str">
        <f>'Agentic Delivery Heatmap'!B7</f>
        <v/>
      </c>
      <c r="C13" s="104" t="str">
        <f>'Agentic Delivery Heatmap'!C7</f>
        <v/>
      </c>
      <c r="D13" s="9"/>
      <c r="F13" s="2"/>
      <c r="G13" s="2"/>
      <c r="H13" s="2"/>
      <c r="I13" s="2"/>
      <c r="J13" s="2"/>
      <c r="K13" s="2"/>
      <c r="L13" s="2"/>
      <c r="M13" s="2"/>
      <c r="N13" s="2"/>
      <c r="O13" s="2"/>
      <c r="P13" s="2"/>
      <c r="Q13" s="2"/>
      <c r="R13" s="2"/>
      <c r="S13" s="2"/>
      <c r="T13" s="2"/>
      <c r="U13" s="2"/>
      <c r="V13" s="2"/>
      <c r="W13" s="2"/>
      <c r="X13" s="2"/>
      <c r="Y13" s="2"/>
      <c r="Z13" s="2"/>
      <c r="AA13" s="2"/>
      <c r="AB13" s="2"/>
    </row>
    <row r="14" spans="1:28">
      <c r="A14" s="2"/>
      <c r="B14" s="2"/>
      <c r="C14" s="10"/>
      <c r="D14" s="10"/>
      <c r="E14" s="2"/>
      <c r="F14" s="2"/>
      <c r="G14" s="2"/>
      <c r="H14" s="2"/>
      <c r="I14" s="2"/>
      <c r="J14" s="2"/>
      <c r="K14" s="2"/>
      <c r="L14" s="2"/>
      <c r="M14" s="2"/>
      <c r="N14" s="2"/>
      <c r="O14" s="2"/>
      <c r="P14" s="2"/>
      <c r="Q14" s="2"/>
      <c r="R14" s="2"/>
      <c r="S14" s="2"/>
      <c r="T14" s="2"/>
      <c r="U14" s="2"/>
      <c r="V14" s="2"/>
      <c r="W14" s="2"/>
      <c r="X14" s="2"/>
      <c r="Y14" s="2"/>
      <c r="Z14" s="2"/>
      <c r="AA14" s="2"/>
      <c r="AB14" s="2"/>
    </row>
    <row r="15" spans="1:28">
      <c r="A15" s="2"/>
      <c r="B15" s="2"/>
      <c r="C15" s="10"/>
      <c r="D15" s="10"/>
      <c r="E15" s="2"/>
      <c r="F15" s="2"/>
      <c r="G15" s="2"/>
      <c r="H15" s="2"/>
      <c r="I15" s="2"/>
      <c r="J15" s="2"/>
      <c r="K15" s="2"/>
      <c r="L15" s="2"/>
      <c r="M15" s="2"/>
      <c r="N15" s="2"/>
      <c r="O15" s="2"/>
      <c r="P15" s="2"/>
      <c r="Q15" s="2"/>
      <c r="R15" s="2"/>
      <c r="S15" s="2"/>
      <c r="T15" s="2"/>
      <c r="U15" s="2"/>
      <c r="V15" s="2"/>
      <c r="W15" s="2"/>
      <c r="X15" s="2"/>
      <c r="Y15" s="2"/>
      <c r="Z15" s="2"/>
      <c r="AA15" s="2"/>
      <c r="AB15" s="2"/>
    </row>
    <row r="16" spans="1:28">
      <c r="A16" s="2"/>
      <c r="B16" s="2"/>
      <c r="C16" s="10"/>
      <c r="D16" s="10"/>
      <c r="E16" s="2"/>
      <c r="F16" s="2"/>
      <c r="G16" s="2"/>
      <c r="H16" s="2"/>
      <c r="I16" s="2"/>
      <c r="J16" s="2"/>
      <c r="K16" s="2"/>
      <c r="L16" s="2"/>
      <c r="M16" s="2"/>
      <c r="N16" s="2"/>
      <c r="O16" s="2"/>
      <c r="P16" s="2"/>
      <c r="Q16" s="2"/>
      <c r="R16" s="2"/>
      <c r="S16" s="2"/>
      <c r="T16" s="2"/>
      <c r="U16" s="2"/>
      <c r="V16" s="2"/>
      <c r="W16" s="2"/>
      <c r="X16" s="2"/>
      <c r="Y16" s="2"/>
      <c r="Z16" s="2"/>
      <c r="AA16" s="2"/>
      <c r="AB16" s="2"/>
    </row>
    <row r="17" spans="1:28">
      <c r="A17" s="2"/>
      <c r="B17" s="2"/>
      <c r="C17" s="10"/>
      <c r="D17" s="10"/>
      <c r="E17" s="2"/>
      <c r="F17" s="2"/>
      <c r="G17" s="2"/>
      <c r="H17" s="2"/>
      <c r="I17" s="2"/>
      <c r="J17" s="2"/>
      <c r="K17" s="2"/>
      <c r="L17" s="2"/>
      <c r="M17" s="2"/>
      <c r="N17" s="2"/>
      <c r="O17" s="2"/>
      <c r="P17" s="2"/>
      <c r="Q17" s="2"/>
      <c r="R17" s="2"/>
      <c r="S17" s="2"/>
      <c r="T17" s="2"/>
      <c r="U17" s="2"/>
      <c r="V17" s="2"/>
      <c r="W17" s="2"/>
      <c r="X17" s="2"/>
      <c r="Y17" s="2"/>
      <c r="Z17" s="2"/>
      <c r="AA17" s="2"/>
      <c r="AB17" s="2"/>
    </row>
    <row r="18" spans="1:28">
      <c r="A18" s="2"/>
      <c r="B18" s="2"/>
      <c r="C18" s="10"/>
      <c r="D18" s="10"/>
      <c r="E18" s="2"/>
      <c r="F18" s="2"/>
      <c r="G18" s="2"/>
      <c r="H18" s="2"/>
      <c r="I18" s="2"/>
      <c r="J18" s="2"/>
      <c r="K18" s="2"/>
      <c r="L18" s="2"/>
      <c r="M18" s="2"/>
      <c r="N18" s="2"/>
      <c r="O18" s="2"/>
      <c r="P18" s="2"/>
      <c r="Q18" s="2"/>
      <c r="R18" s="2"/>
      <c r="S18" s="2"/>
      <c r="T18" s="2"/>
      <c r="U18" s="2"/>
      <c r="V18" s="2"/>
      <c r="W18" s="2"/>
      <c r="X18" s="2"/>
      <c r="Y18" s="2"/>
      <c r="Z18" s="2"/>
      <c r="AA18" s="2"/>
      <c r="AB18" s="2"/>
    </row>
    <row r="19" spans="1:28">
      <c r="A19" s="2"/>
      <c r="B19" s="2"/>
      <c r="C19" s="10"/>
      <c r="D19" s="10"/>
      <c r="E19" s="2"/>
      <c r="F19" s="2"/>
      <c r="G19" s="2"/>
      <c r="H19" s="2"/>
      <c r="I19" s="2"/>
      <c r="J19" s="2"/>
      <c r="K19" s="2"/>
      <c r="L19" s="2"/>
      <c r="M19" s="2"/>
      <c r="N19" s="2"/>
      <c r="O19" s="2"/>
      <c r="P19" s="2"/>
      <c r="Q19" s="2"/>
      <c r="R19" s="2"/>
      <c r="S19" s="2"/>
      <c r="T19" s="2"/>
      <c r="U19" s="2"/>
      <c r="V19" s="2"/>
      <c r="W19" s="2"/>
      <c r="X19" s="2"/>
      <c r="Y19" s="2"/>
      <c r="Z19" s="2"/>
      <c r="AA19" s="2"/>
      <c r="AB19" s="2"/>
    </row>
    <row r="20" spans="1:28">
      <c r="A20" s="2"/>
      <c r="B20" s="2"/>
      <c r="C20" s="10"/>
      <c r="D20" s="10"/>
      <c r="E20" s="2"/>
      <c r="F20" s="2"/>
      <c r="G20" s="2"/>
      <c r="H20" s="2"/>
      <c r="I20" s="2"/>
      <c r="J20" s="2"/>
      <c r="K20" s="2"/>
      <c r="L20" s="2"/>
      <c r="M20" s="2"/>
      <c r="N20" s="2"/>
      <c r="O20" s="2"/>
      <c r="P20" s="2"/>
      <c r="Q20" s="2"/>
      <c r="R20" s="2"/>
      <c r="S20" s="2"/>
      <c r="T20" s="2"/>
      <c r="U20" s="2"/>
      <c r="V20" s="2"/>
      <c r="W20" s="2"/>
      <c r="X20" s="2"/>
      <c r="Y20" s="2"/>
      <c r="Z20" s="2"/>
      <c r="AA20" s="2"/>
      <c r="AB20" s="2"/>
    </row>
    <row r="21" spans="1:28">
      <c r="A21" s="2"/>
      <c r="B21" s="2"/>
      <c r="C21" s="10"/>
      <c r="D21" s="10"/>
      <c r="E21" s="2"/>
      <c r="F21" s="2"/>
      <c r="G21" s="2"/>
      <c r="H21" s="2"/>
      <c r="I21" s="2"/>
      <c r="J21" s="2"/>
      <c r="K21" s="2"/>
      <c r="L21" s="2"/>
      <c r="M21" s="2"/>
      <c r="N21" s="2"/>
      <c r="O21" s="2"/>
      <c r="P21" s="2"/>
      <c r="Q21" s="2"/>
      <c r="R21" s="2"/>
      <c r="S21" s="2"/>
      <c r="T21" s="2"/>
      <c r="U21" s="2"/>
      <c r="V21" s="2"/>
      <c r="W21" s="2"/>
      <c r="X21" s="2"/>
      <c r="Y21" s="2"/>
      <c r="Z21" s="2"/>
      <c r="AA21" s="2"/>
      <c r="AB21" s="2"/>
    </row>
    <row r="22" spans="1:28">
      <c r="A22" s="2"/>
      <c r="B22" s="2"/>
      <c r="C22" s="10"/>
      <c r="D22" s="10"/>
      <c r="E22" s="2"/>
      <c r="F22" s="2"/>
      <c r="G22" s="2"/>
      <c r="H22" s="2"/>
      <c r="I22" s="2"/>
      <c r="J22" s="2"/>
      <c r="K22" s="2"/>
      <c r="L22" s="2"/>
      <c r="M22" s="2"/>
      <c r="N22" s="2"/>
      <c r="O22" s="2"/>
      <c r="P22" s="2"/>
      <c r="Q22" s="2"/>
      <c r="R22" s="2"/>
      <c r="S22" s="2"/>
      <c r="T22" s="2"/>
      <c r="U22" s="2"/>
      <c r="V22" s="2"/>
      <c r="W22" s="2"/>
      <c r="X22" s="2"/>
      <c r="Y22" s="2"/>
      <c r="Z22" s="2"/>
      <c r="AA22" s="2"/>
      <c r="AB22" s="2"/>
    </row>
    <row r="23" spans="1:28">
      <c r="A23" s="2"/>
      <c r="B23" s="2"/>
      <c r="C23" s="10"/>
      <c r="D23" s="10"/>
      <c r="E23" s="2"/>
      <c r="F23" s="2"/>
      <c r="G23" s="2"/>
      <c r="H23" s="2"/>
      <c r="I23" s="2"/>
      <c r="J23" s="2"/>
      <c r="K23" s="2"/>
      <c r="L23" s="2"/>
      <c r="M23" s="2"/>
      <c r="N23" s="2"/>
      <c r="O23" s="2"/>
      <c r="P23" s="2"/>
      <c r="Q23" s="2"/>
      <c r="R23" s="2"/>
      <c r="S23" s="2"/>
      <c r="T23" s="2"/>
      <c r="U23" s="2"/>
      <c r="V23" s="2"/>
      <c r="W23" s="2"/>
      <c r="X23" s="2"/>
      <c r="Y23" s="2"/>
      <c r="Z23" s="2"/>
      <c r="AA23" s="2"/>
      <c r="AB23" s="2"/>
    </row>
    <row r="24" spans="1:28">
      <c r="A24" s="2"/>
      <c r="B24" s="2"/>
      <c r="C24" s="10"/>
      <c r="D24" s="10"/>
      <c r="E24" s="2"/>
      <c r="F24" s="2"/>
      <c r="G24" s="2"/>
      <c r="H24" s="2"/>
      <c r="I24" s="2"/>
      <c r="J24" s="2"/>
      <c r="K24" s="2"/>
      <c r="L24" s="2"/>
      <c r="M24" s="2"/>
      <c r="N24" s="2"/>
      <c r="O24" s="2"/>
      <c r="P24" s="2"/>
      <c r="Q24" s="2"/>
      <c r="R24" s="2"/>
      <c r="S24" s="2"/>
      <c r="T24" s="2"/>
      <c r="U24" s="2"/>
      <c r="V24" s="2"/>
      <c r="W24" s="2"/>
      <c r="X24" s="2"/>
      <c r="Y24" s="2"/>
      <c r="Z24" s="2"/>
      <c r="AA24" s="2"/>
      <c r="AB24" s="2"/>
    </row>
    <row r="25" spans="1:28">
      <c r="A25" s="2"/>
      <c r="B25" s="2"/>
      <c r="C25" s="10"/>
      <c r="D25" s="10"/>
      <c r="E25" s="2"/>
      <c r="F25" s="2"/>
      <c r="G25" s="2"/>
      <c r="H25" s="2"/>
      <c r="I25" s="2"/>
      <c r="J25" s="2"/>
      <c r="K25" s="2"/>
      <c r="L25" s="2"/>
      <c r="M25" s="2"/>
      <c r="N25" s="2"/>
      <c r="O25" s="2"/>
      <c r="P25" s="2"/>
      <c r="Q25" s="2"/>
      <c r="R25" s="2"/>
      <c r="S25" s="2"/>
      <c r="T25" s="2"/>
      <c r="U25" s="2"/>
      <c r="V25" s="2"/>
      <c r="W25" s="2"/>
      <c r="X25" s="2"/>
      <c r="Y25" s="2"/>
      <c r="Z25" s="2"/>
      <c r="AA25" s="2"/>
      <c r="AB25" s="2"/>
    </row>
    <row r="26" spans="1:28">
      <c r="A26" s="2"/>
      <c r="B26" s="2"/>
      <c r="C26" s="10"/>
      <c r="D26" s="10"/>
      <c r="E26" s="2"/>
      <c r="F26" s="2"/>
      <c r="G26" s="2"/>
      <c r="H26" s="2"/>
      <c r="I26" s="2"/>
      <c r="J26" s="2"/>
      <c r="K26" s="2"/>
      <c r="L26" s="2"/>
      <c r="M26" s="2"/>
      <c r="N26" s="2"/>
      <c r="O26" s="2"/>
      <c r="P26" s="2"/>
      <c r="Q26" s="2"/>
      <c r="R26" s="2"/>
      <c r="S26" s="2"/>
      <c r="T26" s="2"/>
      <c r="U26" s="2"/>
      <c r="V26" s="2"/>
      <c r="W26" s="2"/>
      <c r="X26" s="2"/>
      <c r="Y26" s="2"/>
      <c r="Z26" s="2"/>
      <c r="AA26" s="2"/>
      <c r="AB26" s="2"/>
    </row>
    <row r="27" spans="1:28">
      <c r="A27" s="2"/>
      <c r="B27" s="2"/>
      <c r="C27" s="10"/>
      <c r="D27" s="10"/>
      <c r="E27" s="2"/>
      <c r="F27" s="2"/>
      <c r="G27" s="2"/>
      <c r="H27" s="2"/>
      <c r="I27" s="2"/>
      <c r="J27" s="2"/>
      <c r="K27" s="2"/>
      <c r="L27" s="2"/>
      <c r="M27" s="2"/>
      <c r="N27" s="2"/>
      <c r="O27" s="2"/>
      <c r="P27" s="2"/>
      <c r="Q27" s="2"/>
      <c r="R27" s="2"/>
      <c r="S27" s="2"/>
      <c r="T27" s="2"/>
      <c r="U27" s="2"/>
      <c r="V27" s="2"/>
      <c r="W27" s="2"/>
      <c r="X27" s="2"/>
      <c r="Y27" s="2"/>
      <c r="Z27" s="2"/>
      <c r="AA27" s="2"/>
      <c r="AB27" s="2"/>
    </row>
    <row r="28" spans="1:28">
      <c r="A28" s="2"/>
      <c r="B28" s="2"/>
      <c r="C28" s="10"/>
      <c r="D28" s="10"/>
      <c r="E28" s="2"/>
      <c r="F28" s="2"/>
      <c r="G28" s="2"/>
      <c r="H28" s="2"/>
      <c r="I28" s="2"/>
      <c r="J28" s="2"/>
      <c r="K28" s="2"/>
      <c r="L28" s="2"/>
      <c r="M28" s="2"/>
      <c r="N28" s="2"/>
      <c r="O28" s="2"/>
      <c r="P28" s="2"/>
      <c r="Q28" s="2"/>
      <c r="R28" s="2"/>
      <c r="S28" s="2"/>
      <c r="T28" s="2"/>
      <c r="U28" s="2"/>
      <c r="V28" s="2"/>
      <c r="W28" s="2"/>
      <c r="X28" s="2"/>
      <c r="Y28" s="2"/>
      <c r="Z28" s="2"/>
      <c r="AA28" s="2"/>
      <c r="AB28" s="2"/>
    </row>
    <row r="29" spans="1:28">
      <c r="A29" s="2"/>
      <c r="B29" s="2"/>
      <c r="C29" s="10"/>
      <c r="D29" s="10"/>
      <c r="E29" s="2"/>
      <c r="F29" s="2"/>
      <c r="G29" s="2"/>
      <c r="H29" s="2"/>
      <c r="I29" s="2"/>
      <c r="J29" s="2"/>
      <c r="K29" s="2"/>
      <c r="L29" s="2"/>
      <c r="M29" s="2"/>
      <c r="N29" s="2"/>
      <c r="O29" s="2"/>
      <c r="P29" s="2"/>
      <c r="Q29" s="2"/>
      <c r="R29" s="2"/>
      <c r="S29" s="2"/>
      <c r="T29" s="2"/>
      <c r="U29" s="2"/>
      <c r="V29" s="2"/>
      <c r="W29" s="2"/>
      <c r="X29" s="2"/>
      <c r="Y29" s="2"/>
      <c r="Z29" s="2"/>
      <c r="AA29" s="2"/>
      <c r="AB29" s="2"/>
    </row>
    <row r="30" spans="1:28">
      <c r="A30" s="2"/>
      <c r="B30" s="2"/>
      <c r="C30" s="10"/>
      <c r="D30" s="10"/>
      <c r="E30" s="2"/>
      <c r="F30" s="2"/>
      <c r="G30" s="2"/>
      <c r="H30" s="2"/>
      <c r="I30" s="2"/>
      <c r="J30" s="2"/>
      <c r="K30" s="2"/>
      <c r="L30" s="2"/>
      <c r="M30" s="2"/>
      <c r="N30" s="2"/>
      <c r="O30" s="2"/>
      <c r="P30" s="2"/>
      <c r="Q30" s="2"/>
      <c r="R30" s="2"/>
      <c r="S30" s="2"/>
      <c r="T30" s="2"/>
      <c r="U30" s="2"/>
      <c r="V30" s="2"/>
      <c r="W30" s="2"/>
      <c r="X30" s="2"/>
      <c r="Y30" s="2"/>
      <c r="Z30" s="2"/>
      <c r="AA30" s="2"/>
      <c r="AB30" s="2"/>
    </row>
    <row r="31" spans="1:28">
      <c r="A31" s="2"/>
      <c r="B31" s="2"/>
      <c r="C31" s="10"/>
      <c r="D31" s="10"/>
      <c r="E31" s="2"/>
      <c r="F31" s="2"/>
      <c r="G31" s="2"/>
      <c r="H31" s="2"/>
      <c r="I31" s="2"/>
      <c r="J31" s="2"/>
      <c r="K31" s="2"/>
      <c r="L31" s="2"/>
      <c r="M31" s="2"/>
      <c r="N31" s="2"/>
      <c r="O31" s="2"/>
      <c r="P31" s="2"/>
      <c r="Q31" s="2"/>
      <c r="R31" s="2"/>
      <c r="S31" s="2"/>
      <c r="T31" s="2"/>
      <c r="U31" s="2"/>
      <c r="V31" s="2"/>
      <c r="W31" s="2"/>
      <c r="X31" s="2"/>
      <c r="Y31" s="2"/>
      <c r="Z31" s="2"/>
      <c r="AA31" s="2"/>
      <c r="AB31" s="2"/>
    </row>
    <row r="32" spans="1:28">
      <c r="A32" s="2"/>
      <c r="B32" s="2"/>
      <c r="C32" s="10"/>
      <c r="D32" s="10"/>
      <c r="E32" s="2"/>
      <c r="F32" s="2"/>
      <c r="G32" s="2"/>
      <c r="H32" s="2"/>
      <c r="I32" s="2"/>
      <c r="J32" s="2"/>
      <c r="K32" s="2"/>
      <c r="L32" s="2"/>
      <c r="M32" s="2"/>
      <c r="N32" s="2"/>
      <c r="O32" s="2"/>
      <c r="P32" s="2"/>
      <c r="Q32" s="2"/>
      <c r="R32" s="2"/>
      <c r="S32" s="2"/>
      <c r="T32" s="2"/>
      <c r="U32" s="2"/>
      <c r="V32" s="2"/>
      <c r="W32" s="2"/>
      <c r="X32" s="2"/>
      <c r="Y32" s="2"/>
      <c r="Z32" s="2"/>
      <c r="AA32" s="2"/>
      <c r="AB32" s="2"/>
    </row>
    <row r="33" spans="1:28">
      <c r="A33" s="2"/>
      <c r="B33" s="2"/>
      <c r="C33" s="10"/>
      <c r="D33" s="10"/>
      <c r="E33" s="2"/>
      <c r="F33" s="2"/>
      <c r="G33" s="2"/>
      <c r="H33" s="2"/>
      <c r="I33" s="2"/>
      <c r="J33" s="2"/>
      <c r="K33" s="2"/>
      <c r="L33" s="2"/>
      <c r="M33" s="2"/>
      <c r="N33" s="2"/>
      <c r="O33" s="2"/>
      <c r="P33" s="2"/>
      <c r="Q33" s="2"/>
      <c r="R33" s="2"/>
      <c r="S33" s="2"/>
      <c r="T33" s="2"/>
      <c r="U33" s="2"/>
      <c r="V33" s="2"/>
      <c r="W33" s="2"/>
      <c r="X33" s="2"/>
      <c r="Y33" s="2"/>
      <c r="Z33" s="2"/>
      <c r="AA33" s="2"/>
      <c r="AB33" s="2"/>
    </row>
    <row r="34" spans="1:28">
      <c r="A34" s="2"/>
      <c r="B34" s="2"/>
      <c r="C34" s="10"/>
      <c r="D34" s="10"/>
      <c r="E34" s="2"/>
      <c r="F34" s="2"/>
      <c r="G34" s="2"/>
      <c r="H34" s="2"/>
      <c r="I34" s="2"/>
      <c r="J34" s="2"/>
      <c r="K34" s="2"/>
      <c r="L34" s="2"/>
      <c r="M34" s="2"/>
      <c r="N34" s="2"/>
      <c r="O34" s="2"/>
      <c r="P34" s="2"/>
      <c r="Q34" s="2"/>
      <c r="R34" s="2"/>
      <c r="S34" s="2"/>
      <c r="T34" s="2"/>
      <c r="U34" s="2"/>
      <c r="V34" s="2"/>
      <c r="W34" s="2"/>
      <c r="X34" s="2"/>
      <c r="Y34" s="2"/>
      <c r="Z34" s="2"/>
      <c r="AA34" s="2"/>
      <c r="AB34" s="2"/>
    </row>
    <row r="35" spans="1:28">
      <c r="A35" s="2"/>
      <c r="B35" s="2"/>
      <c r="C35" s="10"/>
      <c r="D35" s="10"/>
      <c r="E35" s="2"/>
      <c r="F35" s="2"/>
      <c r="G35" s="2"/>
      <c r="H35" s="2"/>
      <c r="I35" s="2"/>
      <c r="J35" s="2"/>
      <c r="K35" s="2"/>
      <c r="L35" s="2"/>
      <c r="M35" s="2"/>
      <c r="N35" s="2"/>
      <c r="O35" s="2"/>
      <c r="P35" s="2"/>
      <c r="Q35" s="2"/>
      <c r="R35" s="2"/>
      <c r="S35" s="2"/>
      <c r="T35" s="2"/>
      <c r="U35" s="2"/>
      <c r="V35" s="2"/>
      <c r="W35" s="2"/>
      <c r="X35" s="2"/>
      <c r="Y35" s="2"/>
      <c r="Z35" s="2"/>
      <c r="AA35" s="2"/>
      <c r="AB35" s="2"/>
    </row>
    <row r="36" spans="1:28">
      <c r="A36" s="2"/>
      <c r="B36" s="2"/>
      <c r="C36" s="10"/>
      <c r="D36" s="10"/>
      <c r="E36" s="2"/>
      <c r="F36" s="2"/>
      <c r="G36" s="2"/>
      <c r="H36" s="2"/>
      <c r="I36" s="2"/>
      <c r="J36" s="2"/>
      <c r="K36" s="2"/>
      <c r="L36" s="2"/>
      <c r="M36" s="2"/>
      <c r="N36" s="2"/>
      <c r="O36" s="2"/>
      <c r="P36" s="2"/>
      <c r="Q36" s="2"/>
      <c r="R36" s="2"/>
      <c r="S36" s="2"/>
      <c r="T36" s="2"/>
      <c r="U36" s="2"/>
      <c r="V36" s="2"/>
      <c r="W36" s="2"/>
      <c r="X36" s="2"/>
      <c r="Y36" s="2"/>
      <c r="Z36" s="2"/>
      <c r="AA36" s="2"/>
      <c r="AB36" s="2"/>
    </row>
    <row r="37" spans="1:28">
      <c r="A37" s="2"/>
      <c r="B37" s="2"/>
      <c r="C37" s="10"/>
      <c r="D37" s="10"/>
      <c r="E37" s="2"/>
      <c r="F37" s="2"/>
      <c r="G37" s="2"/>
      <c r="H37" s="2"/>
      <c r="I37" s="2"/>
      <c r="J37" s="2"/>
      <c r="K37" s="2"/>
      <c r="L37" s="2"/>
      <c r="M37" s="2"/>
      <c r="N37" s="2"/>
      <c r="O37" s="2"/>
      <c r="P37" s="2"/>
      <c r="Q37" s="2"/>
      <c r="R37" s="2"/>
      <c r="S37" s="2"/>
      <c r="T37" s="2"/>
      <c r="U37" s="2"/>
      <c r="V37" s="2"/>
      <c r="W37" s="2"/>
      <c r="X37" s="2"/>
      <c r="Y37" s="2"/>
      <c r="Z37" s="2"/>
      <c r="AA37" s="2"/>
      <c r="AB37" s="2"/>
    </row>
    <row r="38" spans="1:28">
      <c r="A38" s="2"/>
      <c r="B38" s="2"/>
      <c r="C38" s="10"/>
      <c r="D38" s="10"/>
      <c r="E38" s="2"/>
      <c r="F38" s="2"/>
      <c r="G38" s="2"/>
      <c r="H38" s="2"/>
      <c r="I38" s="2"/>
      <c r="J38" s="2"/>
      <c r="K38" s="2"/>
      <c r="L38" s="2"/>
      <c r="M38" s="2"/>
      <c r="N38" s="2"/>
      <c r="O38" s="2"/>
      <c r="P38" s="2"/>
      <c r="Q38" s="2"/>
      <c r="R38" s="2"/>
      <c r="S38" s="2"/>
      <c r="T38" s="2"/>
      <c r="U38" s="2"/>
      <c r="V38" s="2"/>
      <c r="W38" s="2"/>
      <c r="X38" s="2"/>
      <c r="Y38" s="2"/>
      <c r="Z38" s="2"/>
      <c r="AA38" s="2"/>
      <c r="AB38" s="2"/>
    </row>
    <row r="39" spans="1:28">
      <c r="A39" s="2"/>
      <c r="B39" s="2"/>
      <c r="C39" s="10"/>
      <c r="D39" s="10"/>
      <c r="E39" s="2"/>
      <c r="F39" s="2"/>
      <c r="G39" s="2"/>
      <c r="H39" s="2"/>
      <c r="I39" s="2"/>
      <c r="J39" s="2"/>
      <c r="K39" s="2"/>
      <c r="L39" s="2"/>
      <c r="M39" s="2"/>
      <c r="N39" s="2"/>
      <c r="O39" s="2"/>
      <c r="P39" s="2"/>
      <c r="Q39" s="2"/>
      <c r="R39" s="2"/>
      <c r="S39" s="2"/>
      <c r="T39" s="2"/>
      <c r="U39" s="2"/>
      <c r="V39" s="2"/>
      <c r="W39" s="2"/>
      <c r="X39" s="2"/>
      <c r="Y39" s="2"/>
      <c r="Z39" s="2"/>
      <c r="AA39" s="2"/>
      <c r="AB39" s="2"/>
    </row>
    <row r="40" spans="1:28">
      <c r="A40" s="2"/>
      <c r="B40" s="2"/>
      <c r="C40" s="10"/>
      <c r="D40" s="10"/>
      <c r="E40" s="2"/>
      <c r="F40" s="2"/>
      <c r="G40" s="2"/>
      <c r="H40" s="2"/>
      <c r="I40" s="2"/>
      <c r="J40" s="2"/>
      <c r="K40" s="2"/>
      <c r="L40" s="2"/>
      <c r="M40" s="2"/>
      <c r="N40" s="2"/>
      <c r="O40" s="2"/>
      <c r="P40" s="2"/>
      <c r="Q40" s="2"/>
      <c r="R40" s="2"/>
      <c r="S40" s="2"/>
      <c r="T40" s="2"/>
      <c r="U40" s="2"/>
      <c r="V40" s="2"/>
      <c r="W40" s="2"/>
      <c r="X40" s="2"/>
      <c r="Y40" s="2"/>
      <c r="Z40" s="2"/>
      <c r="AA40" s="2"/>
      <c r="AB40" s="2"/>
    </row>
    <row r="41" spans="1:28">
      <c r="A41" s="2"/>
      <c r="B41" s="2"/>
      <c r="C41" s="10"/>
      <c r="D41" s="10"/>
      <c r="E41" s="2"/>
      <c r="F41" s="2"/>
      <c r="G41" s="2"/>
      <c r="H41" s="2"/>
      <c r="I41" s="2"/>
      <c r="J41" s="2"/>
      <c r="K41" s="2"/>
      <c r="L41" s="2"/>
      <c r="M41" s="2"/>
      <c r="N41" s="2"/>
      <c r="O41" s="2"/>
      <c r="P41" s="2"/>
      <c r="Q41" s="2"/>
      <c r="R41" s="2"/>
      <c r="S41" s="2"/>
      <c r="T41" s="2"/>
      <c r="U41" s="2"/>
      <c r="V41" s="2"/>
      <c r="W41" s="2"/>
      <c r="X41" s="2"/>
      <c r="Y41" s="2"/>
      <c r="Z41" s="2"/>
      <c r="AA41" s="2"/>
      <c r="AB41" s="2"/>
    </row>
    <row r="42" spans="1:28">
      <c r="A42" s="2"/>
      <c r="B42" s="2"/>
      <c r="C42" s="10"/>
      <c r="D42" s="10"/>
      <c r="E42" s="2"/>
      <c r="F42" s="2"/>
      <c r="G42" s="2"/>
      <c r="H42" s="2"/>
      <c r="I42" s="2"/>
      <c r="J42" s="2"/>
      <c r="K42" s="2"/>
      <c r="L42" s="2"/>
      <c r="M42" s="2"/>
      <c r="N42" s="2"/>
      <c r="O42" s="2"/>
      <c r="P42" s="2"/>
      <c r="Q42" s="2"/>
      <c r="R42" s="2"/>
      <c r="S42" s="2"/>
      <c r="T42" s="2"/>
      <c r="U42" s="2"/>
      <c r="V42" s="2"/>
      <c r="W42" s="2"/>
      <c r="X42" s="2"/>
      <c r="Y42" s="2"/>
      <c r="Z42" s="2"/>
      <c r="AA42" s="2"/>
      <c r="AB42" s="2"/>
    </row>
    <row r="43" spans="1:28">
      <c r="A43" s="2"/>
      <c r="B43" s="2"/>
      <c r="C43" s="10"/>
      <c r="D43" s="10"/>
      <c r="E43" s="2"/>
      <c r="F43" s="2"/>
      <c r="G43" s="2"/>
      <c r="H43" s="2"/>
      <c r="I43" s="2"/>
      <c r="J43" s="2"/>
      <c r="K43" s="2"/>
      <c r="L43" s="2"/>
      <c r="M43" s="2"/>
      <c r="N43" s="2"/>
      <c r="O43" s="2"/>
      <c r="P43" s="2"/>
      <c r="Q43" s="2"/>
      <c r="R43" s="2"/>
      <c r="S43" s="2"/>
      <c r="T43" s="2"/>
      <c r="U43" s="2"/>
      <c r="V43" s="2"/>
      <c r="W43" s="2"/>
      <c r="X43" s="2"/>
      <c r="Y43" s="2"/>
      <c r="Z43" s="2"/>
      <c r="AA43" s="2"/>
      <c r="AB43" s="2"/>
    </row>
    <row r="44" spans="1:28">
      <c r="A44" s="2"/>
      <c r="B44" s="2"/>
      <c r="C44" s="10"/>
      <c r="D44" s="10"/>
      <c r="E44" s="2"/>
      <c r="F44" s="2"/>
      <c r="G44" s="2"/>
      <c r="H44" s="2"/>
      <c r="I44" s="2"/>
      <c r="J44" s="2"/>
      <c r="K44" s="2"/>
      <c r="L44" s="2"/>
      <c r="M44" s="2"/>
      <c r="N44" s="2"/>
      <c r="O44" s="2"/>
      <c r="P44" s="2"/>
      <c r="Q44" s="2"/>
      <c r="R44" s="2"/>
      <c r="S44" s="2"/>
      <c r="T44" s="2"/>
      <c r="U44" s="2"/>
      <c r="V44" s="2"/>
      <c r="W44" s="2"/>
      <c r="X44" s="2"/>
      <c r="Y44" s="2"/>
      <c r="Z44" s="2"/>
      <c r="AA44" s="2"/>
      <c r="AB44" s="2"/>
    </row>
    <row r="45" spans="1:28">
      <c r="A45" s="2"/>
      <c r="B45" s="2"/>
      <c r="C45" s="10"/>
      <c r="D45" s="10"/>
      <c r="E45" s="2"/>
      <c r="F45" s="2"/>
      <c r="G45" s="2"/>
      <c r="H45" s="2"/>
      <c r="I45" s="2"/>
      <c r="J45" s="2"/>
      <c r="K45" s="2"/>
      <c r="L45" s="2"/>
      <c r="M45" s="2"/>
      <c r="N45" s="2"/>
      <c r="O45" s="2"/>
      <c r="P45" s="2"/>
      <c r="Q45" s="2"/>
      <c r="R45" s="2"/>
      <c r="S45" s="2"/>
      <c r="T45" s="2"/>
      <c r="U45" s="2"/>
      <c r="V45" s="2"/>
      <c r="W45" s="2"/>
      <c r="X45" s="2"/>
      <c r="Y45" s="2"/>
      <c r="Z45" s="2"/>
      <c r="AA45" s="2"/>
      <c r="AB45" s="2"/>
    </row>
    <row r="46" spans="1:28">
      <c r="A46" s="2"/>
      <c r="B46" s="2"/>
      <c r="C46" s="10"/>
      <c r="D46" s="10"/>
      <c r="E46" s="2"/>
      <c r="F46" s="2"/>
      <c r="G46" s="2"/>
      <c r="H46" s="2"/>
      <c r="I46" s="2"/>
      <c r="J46" s="2"/>
      <c r="K46" s="2"/>
      <c r="L46" s="2"/>
      <c r="M46" s="2"/>
      <c r="N46" s="2"/>
      <c r="O46" s="2"/>
      <c r="P46" s="2"/>
      <c r="Q46" s="2"/>
      <c r="R46" s="2"/>
      <c r="S46" s="2"/>
      <c r="T46" s="2"/>
      <c r="U46" s="2"/>
      <c r="V46" s="2"/>
      <c r="W46" s="2"/>
      <c r="X46" s="2"/>
      <c r="Y46" s="2"/>
      <c r="Z46" s="2"/>
      <c r="AA46" s="2"/>
      <c r="AB46" s="2"/>
    </row>
    <row r="47" spans="1:28">
      <c r="A47" s="2"/>
      <c r="B47" s="2"/>
      <c r="C47" s="10"/>
      <c r="D47" s="10"/>
      <c r="E47" s="2"/>
      <c r="F47" s="2"/>
      <c r="G47" s="2"/>
      <c r="H47" s="2"/>
      <c r="I47" s="2"/>
      <c r="J47" s="2"/>
      <c r="K47" s="2"/>
      <c r="L47" s="2"/>
      <c r="M47" s="2"/>
      <c r="N47" s="2"/>
      <c r="O47" s="2"/>
      <c r="P47" s="2"/>
      <c r="Q47" s="2"/>
      <c r="R47" s="2"/>
      <c r="S47" s="2"/>
      <c r="T47" s="2"/>
      <c r="U47" s="2"/>
      <c r="V47" s="2"/>
      <c r="W47" s="2"/>
      <c r="X47" s="2"/>
      <c r="Y47" s="2"/>
      <c r="Z47" s="2"/>
      <c r="AA47" s="2"/>
      <c r="AB47" s="2"/>
    </row>
    <row r="48" spans="1:28">
      <c r="A48" s="2"/>
      <c r="B48" s="2"/>
      <c r="C48" s="10"/>
      <c r="D48" s="10"/>
      <c r="E48" s="2"/>
      <c r="F48" s="2"/>
      <c r="G48" s="2"/>
      <c r="H48" s="2"/>
      <c r="I48" s="2"/>
      <c r="J48" s="2"/>
      <c r="K48" s="2"/>
      <c r="L48" s="2"/>
      <c r="M48" s="2"/>
      <c r="N48" s="2"/>
      <c r="O48" s="2"/>
      <c r="P48" s="2"/>
      <c r="Q48" s="2"/>
      <c r="R48" s="2"/>
      <c r="S48" s="2"/>
      <c r="T48" s="2"/>
      <c r="U48" s="2"/>
      <c r="V48" s="2"/>
      <c r="W48" s="2"/>
      <c r="X48" s="2"/>
      <c r="Y48" s="2"/>
      <c r="Z48" s="2"/>
      <c r="AA48" s="2"/>
      <c r="AB48" s="2"/>
    </row>
    <row r="49" spans="1:28">
      <c r="A49" s="2"/>
      <c r="B49" s="2"/>
      <c r="C49" s="10"/>
      <c r="D49" s="10"/>
      <c r="E49" s="2"/>
      <c r="F49" s="2"/>
      <c r="G49" s="2"/>
      <c r="H49" s="2"/>
      <c r="I49" s="2"/>
      <c r="J49" s="2"/>
      <c r="K49" s="2"/>
      <c r="L49" s="2"/>
      <c r="M49" s="2"/>
      <c r="N49" s="2"/>
      <c r="O49" s="2"/>
      <c r="P49" s="2"/>
      <c r="Q49" s="2"/>
      <c r="R49" s="2"/>
      <c r="S49" s="2"/>
      <c r="T49" s="2"/>
      <c r="U49" s="2"/>
      <c r="V49" s="2"/>
      <c r="W49" s="2"/>
      <c r="X49" s="2"/>
      <c r="Y49" s="2"/>
      <c r="Z49" s="2"/>
      <c r="AA49" s="2"/>
      <c r="AB49" s="2"/>
    </row>
    <row r="50" spans="1:28">
      <c r="A50" s="2"/>
      <c r="B50" s="2"/>
      <c r="C50" s="10"/>
      <c r="D50" s="10"/>
      <c r="E50" s="2"/>
      <c r="F50" s="2"/>
      <c r="G50" s="2"/>
      <c r="H50" s="2"/>
      <c r="I50" s="2"/>
      <c r="J50" s="2"/>
      <c r="K50" s="2"/>
      <c r="L50" s="2"/>
      <c r="M50" s="2"/>
      <c r="N50" s="2"/>
      <c r="O50" s="2"/>
      <c r="P50" s="2"/>
      <c r="Q50" s="2"/>
      <c r="R50" s="2"/>
      <c r="S50" s="2"/>
      <c r="T50" s="2"/>
      <c r="U50" s="2"/>
      <c r="V50" s="2"/>
      <c r="W50" s="2"/>
      <c r="X50" s="2"/>
      <c r="Y50" s="2"/>
      <c r="Z50" s="2"/>
      <c r="AA50" s="2"/>
      <c r="AB50" s="2"/>
    </row>
    <row r="51" spans="1:28">
      <c r="A51" s="2"/>
      <c r="B51" s="2"/>
      <c r="C51" s="10"/>
      <c r="D51" s="10"/>
      <c r="E51" s="2"/>
      <c r="F51" s="2"/>
      <c r="G51" s="2"/>
      <c r="H51" s="2"/>
      <c r="I51" s="2"/>
      <c r="J51" s="2"/>
      <c r="K51" s="2"/>
      <c r="L51" s="2"/>
      <c r="M51" s="2"/>
      <c r="N51" s="2"/>
      <c r="O51" s="2"/>
      <c r="P51" s="2"/>
      <c r="Q51" s="2"/>
      <c r="R51" s="2"/>
      <c r="S51" s="2"/>
      <c r="T51" s="2"/>
      <c r="U51" s="2"/>
      <c r="V51" s="2"/>
      <c r="W51" s="2"/>
      <c r="X51" s="2"/>
      <c r="Y51" s="2"/>
      <c r="Z51" s="2"/>
      <c r="AA51" s="2"/>
      <c r="AB51" s="2"/>
    </row>
    <row r="52" spans="1:28">
      <c r="A52" s="2"/>
      <c r="B52" s="2"/>
      <c r="C52" s="10"/>
      <c r="D52" s="10"/>
      <c r="E52" s="2"/>
      <c r="F52" s="2"/>
      <c r="G52" s="2"/>
      <c r="H52" s="2"/>
      <c r="I52" s="2"/>
      <c r="J52" s="2"/>
      <c r="K52" s="2"/>
      <c r="L52" s="2"/>
      <c r="M52" s="2"/>
      <c r="N52" s="2"/>
      <c r="O52" s="2"/>
      <c r="P52" s="2"/>
      <c r="Q52" s="2"/>
      <c r="R52" s="2"/>
      <c r="S52" s="2"/>
      <c r="T52" s="2"/>
      <c r="U52" s="2"/>
      <c r="V52" s="2"/>
      <c r="W52" s="2"/>
      <c r="X52" s="2"/>
      <c r="Y52" s="2"/>
      <c r="Z52" s="2"/>
      <c r="AA52" s="2"/>
      <c r="AB52" s="2"/>
    </row>
    <row r="53" spans="1:28">
      <c r="A53" s="2"/>
      <c r="B53" s="2"/>
      <c r="C53" s="10"/>
      <c r="D53" s="10"/>
      <c r="E53" s="2"/>
      <c r="F53" s="2"/>
      <c r="G53" s="2"/>
      <c r="H53" s="2"/>
      <c r="I53" s="2"/>
      <c r="J53" s="2"/>
      <c r="K53" s="2"/>
      <c r="L53" s="2"/>
      <c r="M53" s="2"/>
      <c r="N53" s="2"/>
      <c r="O53" s="2"/>
      <c r="P53" s="2"/>
      <c r="Q53" s="2"/>
      <c r="R53" s="2"/>
      <c r="S53" s="2"/>
      <c r="T53" s="2"/>
      <c r="U53" s="2"/>
      <c r="V53" s="2"/>
      <c r="W53" s="2"/>
      <c r="X53" s="2"/>
      <c r="Y53" s="2"/>
      <c r="Z53" s="2"/>
      <c r="AA53" s="2"/>
      <c r="AB53" s="2"/>
    </row>
    <row r="54" spans="1:28">
      <c r="A54" s="2"/>
      <c r="B54" s="2"/>
      <c r="C54" s="10"/>
      <c r="D54" s="10"/>
      <c r="E54" s="2"/>
      <c r="F54" s="2"/>
      <c r="G54" s="2"/>
      <c r="H54" s="2"/>
      <c r="I54" s="2"/>
      <c r="J54" s="2"/>
      <c r="K54" s="2"/>
      <c r="L54" s="2"/>
      <c r="M54" s="2"/>
      <c r="N54" s="2"/>
      <c r="O54" s="2"/>
      <c r="P54" s="2"/>
      <c r="Q54" s="2"/>
      <c r="R54" s="2"/>
      <c r="S54" s="2"/>
      <c r="T54" s="2"/>
      <c r="U54" s="2"/>
      <c r="V54" s="2"/>
      <c r="W54" s="2"/>
      <c r="X54" s="2"/>
      <c r="Y54" s="2"/>
      <c r="Z54" s="2"/>
      <c r="AA54" s="2"/>
      <c r="AB54" s="2"/>
    </row>
    <row r="55" spans="1:28">
      <c r="A55" s="2"/>
      <c r="B55" s="2"/>
      <c r="C55" s="10"/>
      <c r="D55" s="10"/>
      <c r="E55" s="2"/>
      <c r="F55" s="2"/>
      <c r="G55" s="2"/>
      <c r="H55" s="2"/>
      <c r="I55" s="2"/>
      <c r="J55" s="2"/>
      <c r="K55" s="2"/>
      <c r="L55" s="2"/>
      <c r="M55" s="2"/>
      <c r="N55" s="2"/>
      <c r="O55" s="2"/>
      <c r="P55" s="2"/>
      <c r="Q55" s="2"/>
      <c r="R55" s="2"/>
      <c r="S55" s="2"/>
      <c r="T55" s="2"/>
      <c r="U55" s="2"/>
      <c r="V55" s="2"/>
      <c r="W55" s="2"/>
      <c r="X55" s="2"/>
      <c r="Y55" s="2"/>
      <c r="Z55" s="2"/>
      <c r="AA55" s="2"/>
      <c r="AB55" s="2"/>
    </row>
    <row r="56" spans="1:28">
      <c r="A56" s="2"/>
      <c r="B56" s="2"/>
      <c r="C56" s="10"/>
      <c r="D56" s="10"/>
      <c r="E56" s="2"/>
      <c r="F56" s="2"/>
      <c r="G56" s="2"/>
      <c r="H56" s="2"/>
      <c r="I56" s="2"/>
      <c r="J56" s="2"/>
      <c r="K56" s="2"/>
      <c r="L56" s="2"/>
      <c r="M56" s="2"/>
      <c r="N56" s="2"/>
      <c r="O56" s="2"/>
      <c r="P56" s="2"/>
      <c r="Q56" s="2"/>
      <c r="R56" s="2"/>
      <c r="S56" s="2"/>
      <c r="T56" s="2"/>
      <c r="U56" s="2"/>
      <c r="V56" s="2"/>
      <c r="W56" s="2"/>
      <c r="X56" s="2"/>
      <c r="Y56" s="2"/>
      <c r="Z56" s="2"/>
      <c r="AA56" s="2"/>
      <c r="AB56" s="2"/>
    </row>
    <row r="57" spans="1:28">
      <c r="A57" s="2"/>
      <c r="B57" s="2"/>
      <c r="C57" s="10"/>
      <c r="D57" s="10"/>
      <c r="E57" s="2"/>
      <c r="F57" s="2"/>
      <c r="G57" s="2"/>
      <c r="H57" s="2"/>
      <c r="I57" s="2"/>
      <c r="J57" s="2"/>
      <c r="K57" s="2"/>
      <c r="L57" s="2"/>
      <c r="M57" s="2"/>
      <c r="N57" s="2"/>
      <c r="O57" s="2"/>
      <c r="P57" s="2"/>
      <c r="Q57" s="2"/>
      <c r="R57" s="2"/>
      <c r="S57" s="2"/>
      <c r="T57" s="2"/>
      <c r="U57" s="2"/>
      <c r="V57" s="2"/>
      <c r="W57" s="2"/>
      <c r="X57" s="2"/>
      <c r="Y57" s="2"/>
      <c r="Z57" s="2"/>
      <c r="AA57" s="2"/>
      <c r="AB57" s="2"/>
    </row>
    <row r="58" spans="1:28">
      <c r="A58" s="2"/>
      <c r="B58" s="2"/>
      <c r="C58" s="10"/>
      <c r="D58" s="10"/>
      <c r="E58" s="2"/>
      <c r="F58" s="2"/>
      <c r="G58" s="2"/>
      <c r="H58" s="2"/>
      <c r="I58" s="2"/>
      <c r="J58" s="2"/>
      <c r="K58" s="2"/>
      <c r="L58" s="2"/>
      <c r="M58" s="2"/>
      <c r="N58" s="2"/>
      <c r="O58" s="2"/>
      <c r="P58" s="2"/>
      <c r="Q58" s="2"/>
      <c r="R58" s="2"/>
      <c r="S58" s="2"/>
      <c r="T58" s="2"/>
      <c r="U58" s="2"/>
      <c r="V58" s="2"/>
      <c r="W58" s="2"/>
      <c r="X58" s="2"/>
      <c r="Y58" s="2"/>
      <c r="Z58" s="2"/>
      <c r="AA58" s="2"/>
      <c r="AB58" s="2"/>
    </row>
    <row r="59" spans="1:28">
      <c r="A59" s="2"/>
      <c r="B59" s="2"/>
      <c r="C59" s="10"/>
      <c r="D59" s="10"/>
      <c r="E59" s="2"/>
      <c r="F59" s="2"/>
      <c r="G59" s="2"/>
      <c r="H59" s="2"/>
      <c r="I59" s="2"/>
      <c r="J59" s="2"/>
      <c r="K59" s="2"/>
      <c r="L59" s="2"/>
      <c r="M59" s="2"/>
      <c r="N59" s="2"/>
      <c r="O59" s="2"/>
      <c r="P59" s="2"/>
      <c r="Q59" s="2"/>
      <c r="R59" s="2"/>
      <c r="S59" s="2"/>
      <c r="T59" s="2"/>
      <c r="U59" s="2"/>
      <c r="V59" s="2"/>
      <c r="W59" s="2"/>
      <c r="X59" s="2"/>
      <c r="Y59" s="2"/>
      <c r="Z59" s="2"/>
      <c r="AA59" s="2"/>
      <c r="AB59" s="2"/>
    </row>
    <row r="60" spans="1:28">
      <c r="A60" s="2"/>
      <c r="B60" s="2"/>
      <c r="C60" s="10"/>
      <c r="D60" s="10"/>
      <c r="E60" s="2"/>
      <c r="F60" s="2"/>
      <c r="G60" s="2"/>
      <c r="H60" s="2"/>
      <c r="I60" s="2"/>
      <c r="J60" s="2"/>
      <c r="K60" s="2"/>
      <c r="L60" s="2"/>
      <c r="M60" s="2"/>
      <c r="N60" s="2"/>
      <c r="O60" s="2"/>
      <c r="P60" s="2"/>
      <c r="Q60" s="2"/>
      <c r="R60" s="2"/>
      <c r="S60" s="2"/>
      <c r="T60" s="2"/>
      <c r="U60" s="2"/>
      <c r="V60" s="2"/>
      <c r="W60" s="2"/>
      <c r="X60" s="2"/>
      <c r="Y60" s="2"/>
      <c r="Z60" s="2"/>
      <c r="AA60" s="2"/>
      <c r="AB60" s="2"/>
    </row>
    <row r="61" spans="1:28">
      <c r="A61" s="2"/>
      <c r="B61" s="2"/>
      <c r="C61" s="10"/>
      <c r="D61" s="10"/>
      <c r="E61" s="2"/>
      <c r="F61" s="2"/>
      <c r="G61" s="2"/>
      <c r="H61" s="2"/>
      <c r="I61" s="2"/>
      <c r="J61" s="2"/>
      <c r="K61" s="2"/>
      <c r="L61" s="2"/>
      <c r="M61" s="2"/>
      <c r="N61" s="2"/>
      <c r="O61" s="2"/>
      <c r="P61" s="2"/>
      <c r="Q61" s="2"/>
      <c r="R61" s="2"/>
      <c r="S61" s="2"/>
      <c r="T61" s="2"/>
      <c r="U61" s="2"/>
      <c r="V61" s="2"/>
      <c r="W61" s="2"/>
      <c r="X61" s="2"/>
      <c r="Y61" s="2"/>
      <c r="Z61" s="2"/>
      <c r="AA61" s="2"/>
      <c r="AB61" s="2"/>
    </row>
    <row r="62" spans="1:28">
      <c r="A62" s="2"/>
      <c r="B62" s="2"/>
      <c r="C62" s="10"/>
      <c r="D62" s="10"/>
      <c r="E62" s="2"/>
      <c r="F62" s="2"/>
      <c r="G62" s="2"/>
      <c r="H62" s="2"/>
      <c r="I62" s="2"/>
      <c r="J62" s="2"/>
      <c r="K62" s="2"/>
      <c r="L62" s="2"/>
      <c r="M62" s="2"/>
      <c r="N62" s="2"/>
      <c r="O62" s="2"/>
      <c r="P62" s="2"/>
      <c r="Q62" s="2"/>
      <c r="R62" s="2"/>
      <c r="S62" s="2"/>
      <c r="T62" s="2"/>
      <c r="U62" s="2"/>
      <c r="V62" s="2"/>
      <c r="W62" s="2"/>
      <c r="X62" s="2"/>
      <c r="Y62" s="2"/>
      <c r="Z62" s="2"/>
      <c r="AA62" s="2"/>
      <c r="AB62" s="2"/>
    </row>
    <row r="63" spans="1:28">
      <c r="A63" s="2"/>
      <c r="B63" s="2"/>
      <c r="C63" s="10"/>
      <c r="D63" s="10"/>
      <c r="E63" s="2"/>
      <c r="F63" s="2"/>
      <c r="G63" s="2"/>
      <c r="H63" s="2"/>
      <c r="I63" s="2"/>
      <c r="J63" s="2"/>
      <c r="K63" s="2"/>
      <c r="L63" s="2"/>
      <c r="M63" s="2"/>
      <c r="N63" s="2"/>
      <c r="O63" s="2"/>
      <c r="P63" s="2"/>
      <c r="Q63" s="2"/>
      <c r="R63" s="2"/>
      <c r="S63" s="2"/>
      <c r="T63" s="2"/>
      <c r="U63" s="2"/>
      <c r="V63" s="2"/>
      <c r="W63" s="2"/>
      <c r="X63" s="2"/>
      <c r="Y63" s="2"/>
      <c r="Z63" s="2"/>
      <c r="AA63" s="2"/>
      <c r="AB63" s="2"/>
    </row>
    <row r="64" spans="1:28">
      <c r="A64" s="2"/>
      <c r="B64" s="2"/>
      <c r="C64" s="10"/>
      <c r="D64" s="10"/>
      <c r="E64" s="2"/>
      <c r="F64" s="2"/>
      <c r="G64" s="2"/>
      <c r="H64" s="2"/>
      <c r="I64" s="2"/>
      <c r="J64" s="2"/>
      <c r="K64" s="2"/>
      <c r="L64" s="2"/>
      <c r="M64" s="2"/>
      <c r="N64" s="2"/>
      <c r="O64" s="2"/>
      <c r="P64" s="2"/>
      <c r="Q64" s="2"/>
      <c r="R64" s="2"/>
      <c r="S64" s="2"/>
      <c r="T64" s="2"/>
      <c r="U64" s="2"/>
      <c r="V64" s="2"/>
      <c r="W64" s="2"/>
      <c r="X64" s="2"/>
      <c r="Y64" s="2"/>
      <c r="Z64" s="2"/>
      <c r="AA64" s="2"/>
      <c r="AB64" s="2"/>
    </row>
    <row r="65" spans="1:28">
      <c r="A65" s="2"/>
      <c r="B65" s="2"/>
      <c r="C65" s="10"/>
      <c r="D65" s="10"/>
      <c r="E65" s="2"/>
      <c r="F65" s="2"/>
      <c r="G65" s="2"/>
      <c r="H65" s="2"/>
      <c r="I65" s="2"/>
      <c r="J65" s="2"/>
      <c r="K65" s="2"/>
      <c r="L65" s="2"/>
      <c r="M65" s="2"/>
      <c r="N65" s="2"/>
      <c r="O65" s="2"/>
      <c r="P65" s="2"/>
      <c r="Q65" s="2"/>
      <c r="R65" s="2"/>
      <c r="S65" s="2"/>
      <c r="T65" s="2"/>
      <c r="U65" s="2"/>
      <c r="V65" s="2"/>
      <c r="W65" s="2"/>
      <c r="X65" s="2"/>
      <c r="Y65" s="2"/>
      <c r="Z65" s="2"/>
      <c r="AA65" s="2"/>
      <c r="AB65" s="2"/>
    </row>
    <row r="66" spans="1:28">
      <c r="A66" s="2"/>
      <c r="B66" s="2"/>
      <c r="C66" s="10"/>
      <c r="D66" s="10"/>
      <c r="E66" s="2"/>
      <c r="F66" s="2"/>
      <c r="G66" s="2"/>
      <c r="H66" s="2"/>
      <c r="I66" s="2"/>
      <c r="J66" s="2"/>
      <c r="K66" s="2"/>
      <c r="L66" s="2"/>
      <c r="M66" s="2"/>
      <c r="N66" s="2"/>
      <c r="O66" s="2"/>
      <c r="P66" s="2"/>
      <c r="Q66" s="2"/>
      <c r="R66" s="2"/>
      <c r="S66" s="2"/>
      <c r="T66" s="2"/>
      <c r="U66" s="2"/>
      <c r="V66" s="2"/>
      <c r="W66" s="2"/>
      <c r="X66" s="2"/>
      <c r="Y66" s="2"/>
      <c r="Z66" s="2"/>
      <c r="AA66" s="2"/>
      <c r="AB66" s="2"/>
    </row>
    <row r="67" spans="1:28">
      <c r="A67" s="2"/>
      <c r="B67" s="2"/>
      <c r="C67" s="10"/>
      <c r="D67" s="10"/>
      <c r="E67" s="2"/>
      <c r="F67" s="2"/>
      <c r="G67" s="2"/>
      <c r="H67" s="2"/>
      <c r="I67" s="2"/>
      <c r="J67" s="2"/>
      <c r="K67" s="2"/>
      <c r="L67" s="2"/>
      <c r="M67" s="2"/>
      <c r="N67" s="2"/>
      <c r="O67" s="2"/>
      <c r="P67" s="2"/>
      <c r="Q67" s="2"/>
      <c r="R67" s="2"/>
      <c r="S67" s="2"/>
      <c r="T67" s="2"/>
      <c r="U67" s="2"/>
      <c r="V67" s="2"/>
      <c r="W67" s="2"/>
      <c r="X67" s="2"/>
      <c r="Y67" s="2"/>
      <c r="Z67" s="2"/>
      <c r="AA67" s="2"/>
      <c r="AB67" s="2"/>
    </row>
    <row r="68" spans="1:28">
      <c r="A68" s="2"/>
      <c r="B68" s="2"/>
      <c r="C68" s="10"/>
      <c r="D68" s="10"/>
      <c r="E68" s="2"/>
      <c r="F68" s="2"/>
      <c r="G68" s="2"/>
      <c r="H68" s="2"/>
      <c r="I68" s="2"/>
      <c r="J68" s="2"/>
      <c r="K68" s="2"/>
      <c r="L68" s="2"/>
      <c r="M68" s="2"/>
      <c r="N68" s="2"/>
      <c r="O68" s="2"/>
      <c r="P68" s="2"/>
      <c r="Q68" s="2"/>
      <c r="R68" s="2"/>
      <c r="S68" s="2"/>
      <c r="T68" s="2"/>
      <c r="U68" s="2"/>
      <c r="V68" s="2"/>
      <c r="W68" s="2"/>
      <c r="X68" s="2"/>
      <c r="Y68" s="2"/>
      <c r="Z68" s="2"/>
      <c r="AA68" s="2"/>
      <c r="AB68" s="2"/>
    </row>
    <row r="69" spans="1:28">
      <c r="A69" s="2"/>
      <c r="B69" s="2"/>
      <c r="C69" s="10"/>
      <c r="D69" s="10"/>
      <c r="E69" s="2"/>
      <c r="F69" s="2"/>
      <c r="G69" s="2"/>
      <c r="H69" s="2"/>
      <c r="I69" s="2"/>
      <c r="J69" s="2"/>
      <c r="K69" s="2"/>
      <c r="L69" s="2"/>
      <c r="M69" s="2"/>
      <c r="N69" s="2"/>
      <c r="O69" s="2"/>
      <c r="P69" s="2"/>
      <c r="Q69" s="2"/>
      <c r="R69" s="2"/>
      <c r="S69" s="2"/>
      <c r="T69" s="2"/>
      <c r="U69" s="2"/>
      <c r="V69" s="2"/>
      <c r="W69" s="2"/>
      <c r="X69" s="2"/>
      <c r="Y69" s="2"/>
      <c r="Z69" s="2"/>
      <c r="AA69" s="2"/>
      <c r="AB69" s="2"/>
    </row>
    <row r="70" spans="1:28">
      <c r="A70" s="2"/>
      <c r="B70" s="2"/>
      <c r="C70" s="10"/>
      <c r="D70" s="10"/>
      <c r="E70" s="2"/>
      <c r="F70" s="2"/>
      <c r="G70" s="2"/>
      <c r="H70" s="2"/>
      <c r="I70" s="2"/>
      <c r="J70" s="2"/>
      <c r="K70" s="2"/>
      <c r="L70" s="2"/>
      <c r="M70" s="2"/>
      <c r="N70" s="2"/>
      <c r="O70" s="2"/>
      <c r="P70" s="2"/>
      <c r="Q70" s="2"/>
      <c r="R70" s="2"/>
      <c r="S70" s="2"/>
      <c r="T70" s="2"/>
      <c r="U70" s="2"/>
      <c r="V70" s="2"/>
      <c r="W70" s="2"/>
      <c r="X70" s="2"/>
      <c r="Y70" s="2"/>
      <c r="Z70" s="2"/>
      <c r="AA70" s="2"/>
      <c r="AB70" s="2"/>
    </row>
    <row r="71" spans="1:28">
      <c r="A71" s="2"/>
      <c r="B71" s="2"/>
      <c r="C71" s="10"/>
      <c r="D71" s="10"/>
      <c r="E71" s="2"/>
      <c r="F71" s="2"/>
      <c r="G71" s="2"/>
      <c r="H71" s="2"/>
      <c r="I71" s="2"/>
      <c r="J71" s="2"/>
      <c r="K71" s="2"/>
      <c r="L71" s="2"/>
      <c r="M71" s="2"/>
      <c r="N71" s="2"/>
      <c r="O71" s="2"/>
      <c r="P71" s="2"/>
      <c r="Q71" s="2"/>
      <c r="R71" s="2"/>
      <c r="S71" s="2"/>
      <c r="T71" s="2"/>
      <c r="U71" s="2"/>
      <c r="V71" s="2"/>
      <c r="W71" s="2"/>
      <c r="X71" s="2"/>
      <c r="Y71" s="2"/>
      <c r="Z71" s="2"/>
      <c r="AA71" s="2"/>
      <c r="AB71" s="2"/>
    </row>
    <row r="72" spans="1:28">
      <c r="A72" s="2"/>
      <c r="B72" s="2"/>
      <c r="C72" s="10"/>
      <c r="D72" s="10"/>
      <c r="E72" s="2"/>
      <c r="F72" s="2"/>
      <c r="G72" s="2"/>
      <c r="H72" s="2"/>
      <c r="I72" s="2"/>
      <c r="J72" s="2"/>
      <c r="K72" s="2"/>
      <c r="L72" s="2"/>
      <c r="M72" s="2"/>
      <c r="N72" s="2"/>
      <c r="O72" s="2"/>
      <c r="P72" s="2"/>
      <c r="Q72" s="2"/>
      <c r="R72" s="2"/>
      <c r="S72" s="2"/>
      <c r="T72" s="2"/>
      <c r="U72" s="2"/>
      <c r="V72" s="2"/>
      <c r="W72" s="2"/>
      <c r="X72" s="2"/>
      <c r="Y72" s="2"/>
      <c r="Z72" s="2"/>
      <c r="AA72" s="2"/>
      <c r="AB72" s="2"/>
    </row>
    <row r="73" spans="1:28">
      <c r="A73" s="2"/>
      <c r="B73" s="2"/>
      <c r="C73" s="10"/>
      <c r="D73" s="10"/>
      <c r="E73" s="2"/>
      <c r="F73" s="2"/>
      <c r="G73" s="2"/>
      <c r="H73" s="2"/>
      <c r="I73" s="2"/>
      <c r="J73" s="2"/>
      <c r="K73" s="2"/>
      <c r="L73" s="2"/>
      <c r="M73" s="2"/>
      <c r="N73" s="2"/>
      <c r="O73" s="2"/>
      <c r="P73" s="2"/>
      <c r="Q73" s="2"/>
      <c r="R73" s="2"/>
      <c r="S73" s="2"/>
      <c r="T73" s="2"/>
      <c r="U73" s="2"/>
      <c r="V73" s="2"/>
      <c r="W73" s="2"/>
      <c r="X73" s="2"/>
      <c r="Y73" s="2"/>
      <c r="Z73" s="2"/>
      <c r="AA73" s="2"/>
      <c r="AB73" s="2"/>
    </row>
    <row r="74" spans="1:28">
      <c r="A74" s="2"/>
      <c r="B74" s="2"/>
      <c r="C74" s="10"/>
      <c r="D74" s="10"/>
      <c r="E74" s="2"/>
      <c r="F74" s="2"/>
      <c r="G74" s="2"/>
      <c r="H74" s="2"/>
      <c r="I74" s="2"/>
      <c r="J74" s="2"/>
      <c r="K74" s="2"/>
      <c r="L74" s="2"/>
      <c r="M74" s="2"/>
      <c r="N74" s="2"/>
      <c r="O74" s="2"/>
      <c r="P74" s="2"/>
      <c r="Q74" s="2"/>
      <c r="R74" s="2"/>
      <c r="S74" s="2"/>
      <c r="T74" s="2"/>
      <c r="U74" s="2"/>
      <c r="V74" s="2"/>
      <c r="W74" s="2"/>
      <c r="X74" s="2"/>
      <c r="Y74" s="2"/>
      <c r="Z74" s="2"/>
      <c r="AA74" s="2"/>
      <c r="AB74" s="2"/>
    </row>
    <row r="75" spans="1:28">
      <c r="A75" s="2"/>
      <c r="B75" s="2"/>
      <c r="C75" s="10"/>
      <c r="D75" s="10"/>
      <c r="E75" s="2"/>
      <c r="F75" s="2"/>
      <c r="G75" s="2"/>
      <c r="H75" s="2"/>
      <c r="I75" s="2"/>
      <c r="J75" s="2"/>
      <c r="K75" s="2"/>
      <c r="L75" s="2"/>
      <c r="M75" s="2"/>
      <c r="N75" s="2"/>
      <c r="O75" s="2"/>
      <c r="P75" s="2"/>
      <c r="Q75" s="2"/>
      <c r="R75" s="2"/>
      <c r="S75" s="2"/>
      <c r="T75" s="2"/>
      <c r="U75" s="2"/>
      <c r="V75" s="2"/>
      <c r="W75" s="2"/>
      <c r="X75" s="2"/>
      <c r="Y75" s="2"/>
      <c r="Z75" s="2"/>
      <c r="AA75" s="2"/>
      <c r="AB75" s="2"/>
    </row>
    <row r="76" spans="1:28">
      <c r="A76" s="2"/>
      <c r="B76" s="2"/>
      <c r="C76" s="10"/>
      <c r="D76" s="10"/>
      <c r="E76" s="2"/>
      <c r="F76" s="2"/>
      <c r="G76" s="2"/>
      <c r="H76" s="2"/>
      <c r="I76" s="2"/>
      <c r="J76" s="2"/>
      <c r="K76" s="2"/>
      <c r="L76" s="2"/>
      <c r="M76" s="2"/>
      <c r="N76" s="2"/>
      <c r="O76" s="2"/>
      <c r="P76" s="2"/>
      <c r="Q76" s="2"/>
      <c r="R76" s="2"/>
      <c r="S76" s="2"/>
      <c r="T76" s="2"/>
      <c r="U76" s="2"/>
      <c r="V76" s="2"/>
      <c r="W76" s="2"/>
      <c r="X76" s="2"/>
      <c r="Y76" s="2"/>
      <c r="Z76" s="2"/>
      <c r="AA76" s="2"/>
      <c r="AB76" s="2"/>
    </row>
    <row r="77" spans="1:28">
      <c r="A77" s="2"/>
      <c r="B77" s="2"/>
      <c r="C77" s="10"/>
      <c r="D77" s="10"/>
      <c r="E77" s="2"/>
      <c r="F77" s="2"/>
      <c r="G77" s="2"/>
      <c r="H77" s="2"/>
      <c r="I77" s="2"/>
      <c r="J77" s="2"/>
      <c r="K77" s="2"/>
      <c r="L77" s="2"/>
      <c r="M77" s="2"/>
      <c r="N77" s="2"/>
      <c r="O77" s="2"/>
      <c r="P77" s="2"/>
      <c r="Q77" s="2"/>
      <c r="R77" s="2"/>
      <c r="S77" s="2"/>
      <c r="T77" s="2"/>
      <c r="U77" s="2"/>
      <c r="V77" s="2"/>
      <c r="W77" s="2"/>
      <c r="X77" s="2"/>
      <c r="Y77" s="2"/>
      <c r="Z77" s="2"/>
      <c r="AA77" s="2"/>
      <c r="AB77" s="2"/>
    </row>
    <row r="78" spans="1:28">
      <c r="A78" s="2"/>
      <c r="B78" s="2"/>
      <c r="C78" s="10"/>
      <c r="D78" s="10"/>
      <c r="E78" s="2"/>
      <c r="F78" s="2"/>
      <c r="G78" s="2"/>
      <c r="H78" s="2"/>
      <c r="I78" s="2"/>
      <c r="J78" s="2"/>
      <c r="K78" s="2"/>
      <c r="L78" s="2"/>
      <c r="M78" s="2"/>
      <c r="N78" s="2"/>
      <c r="O78" s="2"/>
      <c r="P78" s="2"/>
      <c r="Q78" s="2"/>
      <c r="R78" s="2"/>
      <c r="S78" s="2"/>
      <c r="T78" s="2"/>
      <c r="U78" s="2"/>
      <c r="V78" s="2"/>
      <c r="W78" s="2"/>
      <c r="X78" s="2"/>
      <c r="Y78" s="2"/>
      <c r="Z78" s="2"/>
      <c r="AA78" s="2"/>
      <c r="AB78" s="2"/>
    </row>
    <row r="79" spans="1:28">
      <c r="A79" s="2"/>
      <c r="B79" s="2"/>
      <c r="C79" s="10"/>
      <c r="D79" s="10"/>
      <c r="E79" s="2"/>
      <c r="F79" s="2"/>
      <c r="G79" s="2"/>
      <c r="H79" s="2"/>
      <c r="I79" s="2"/>
      <c r="J79" s="2"/>
      <c r="K79" s="2"/>
      <c r="L79" s="2"/>
      <c r="M79" s="2"/>
      <c r="N79" s="2"/>
      <c r="O79" s="2"/>
      <c r="P79" s="2"/>
      <c r="Q79" s="2"/>
      <c r="R79" s="2"/>
      <c r="S79" s="2"/>
      <c r="T79" s="2"/>
      <c r="U79" s="2"/>
      <c r="V79" s="2"/>
      <c r="W79" s="2"/>
      <c r="X79" s="2"/>
      <c r="Y79" s="2"/>
      <c r="Z79" s="2"/>
      <c r="AA79" s="2"/>
      <c r="AB79" s="2"/>
    </row>
    <row r="80" spans="1:28">
      <c r="A80" s="2"/>
      <c r="B80" s="2"/>
      <c r="C80" s="10"/>
      <c r="D80" s="10"/>
      <c r="E80" s="2"/>
      <c r="F80" s="2"/>
      <c r="G80" s="2"/>
      <c r="H80" s="2"/>
      <c r="I80" s="2"/>
      <c r="J80" s="2"/>
      <c r="K80" s="2"/>
      <c r="L80" s="2"/>
      <c r="M80" s="2"/>
      <c r="N80" s="2"/>
      <c r="O80" s="2"/>
      <c r="P80" s="2"/>
      <c r="Q80" s="2"/>
      <c r="R80" s="2"/>
      <c r="S80" s="2"/>
      <c r="T80" s="2"/>
      <c r="U80" s="2"/>
      <c r="V80" s="2"/>
      <c r="W80" s="2"/>
      <c r="X80" s="2"/>
      <c r="Y80" s="2"/>
      <c r="Z80" s="2"/>
      <c r="AA80" s="2"/>
      <c r="AB80" s="2"/>
    </row>
    <row r="81" spans="1:28">
      <c r="A81" s="2"/>
      <c r="B81" s="2"/>
      <c r="C81" s="10"/>
      <c r="D81" s="10"/>
      <c r="E81" s="2"/>
      <c r="F81" s="2"/>
      <c r="G81" s="2"/>
      <c r="H81" s="2"/>
      <c r="I81" s="2"/>
      <c r="J81" s="2"/>
      <c r="K81" s="2"/>
      <c r="L81" s="2"/>
      <c r="M81" s="2"/>
      <c r="N81" s="2"/>
      <c r="O81" s="2"/>
      <c r="P81" s="2"/>
      <c r="Q81" s="2"/>
      <c r="R81" s="2"/>
      <c r="S81" s="2"/>
      <c r="T81" s="2"/>
      <c r="U81" s="2"/>
      <c r="V81" s="2"/>
      <c r="W81" s="2"/>
      <c r="X81" s="2"/>
      <c r="Y81" s="2"/>
      <c r="Z81" s="2"/>
      <c r="AA81" s="2"/>
      <c r="AB81" s="2"/>
    </row>
    <row r="82" spans="1:28">
      <c r="A82" s="2"/>
      <c r="B82" s="2"/>
      <c r="C82" s="10"/>
      <c r="D82" s="10"/>
      <c r="E82" s="2"/>
      <c r="F82" s="2"/>
      <c r="G82" s="2"/>
      <c r="H82" s="2"/>
      <c r="I82" s="2"/>
      <c r="J82" s="2"/>
      <c r="K82" s="2"/>
      <c r="L82" s="2"/>
      <c r="M82" s="2"/>
      <c r="N82" s="2"/>
      <c r="O82" s="2"/>
      <c r="P82" s="2"/>
      <c r="Q82" s="2"/>
      <c r="R82" s="2"/>
      <c r="S82" s="2"/>
      <c r="T82" s="2"/>
      <c r="U82" s="2"/>
      <c r="V82" s="2"/>
      <c r="W82" s="2"/>
      <c r="X82" s="2"/>
      <c r="Y82" s="2"/>
      <c r="Z82" s="2"/>
      <c r="AA82" s="2"/>
      <c r="AB82" s="2"/>
    </row>
    <row r="83" spans="1:28">
      <c r="A83" s="2"/>
      <c r="B83" s="2"/>
      <c r="C83" s="10"/>
      <c r="D83" s="10"/>
      <c r="E83" s="2"/>
      <c r="F83" s="2"/>
      <c r="G83" s="2"/>
      <c r="H83" s="2"/>
      <c r="I83" s="2"/>
      <c r="J83" s="2"/>
      <c r="K83" s="2"/>
      <c r="L83" s="2"/>
      <c r="M83" s="2"/>
      <c r="N83" s="2"/>
      <c r="O83" s="2"/>
      <c r="P83" s="2"/>
      <c r="Q83" s="2"/>
      <c r="R83" s="2"/>
      <c r="S83" s="2"/>
      <c r="T83" s="2"/>
      <c r="U83" s="2"/>
      <c r="V83" s="2"/>
      <c r="W83" s="2"/>
      <c r="X83" s="2"/>
      <c r="Y83" s="2"/>
      <c r="Z83" s="2"/>
      <c r="AA83" s="2"/>
      <c r="AB83" s="2"/>
    </row>
    <row r="84" spans="1:28">
      <c r="A84" s="2"/>
      <c r="B84" s="2"/>
      <c r="C84" s="10"/>
      <c r="D84" s="10"/>
      <c r="E84" s="2"/>
      <c r="F84" s="2"/>
      <c r="G84" s="2"/>
      <c r="H84" s="2"/>
      <c r="I84" s="2"/>
      <c r="J84" s="2"/>
      <c r="K84" s="2"/>
      <c r="L84" s="2"/>
      <c r="M84" s="2"/>
      <c r="N84" s="2"/>
      <c r="O84" s="2"/>
      <c r="P84" s="2"/>
      <c r="Q84" s="2"/>
      <c r="R84" s="2"/>
      <c r="S84" s="2"/>
      <c r="T84" s="2"/>
      <c r="U84" s="2"/>
      <c r="V84" s="2"/>
      <c r="W84" s="2"/>
      <c r="X84" s="2"/>
      <c r="Y84" s="2"/>
      <c r="Z84" s="2"/>
      <c r="AA84" s="2"/>
      <c r="AB84" s="2"/>
    </row>
    <row r="85" spans="1:28">
      <c r="A85" s="2"/>
      <c r="B85" s="2"/>
      <c r="C85" s="10"/>
      <c r="D85" s="10"/>
      <c r="E85" s="2"/>
      <c r="F85" s="2"/>
      <c r="G85" s="2"/>
      <c r="H85" s="2"/>
      <c r="I85" s="2"/>
      <c r="J85" s="2"/>
      <c r="K85" s="2"/>
      <c r="L85" s="2"/>
      <c r="M85" s="2"/>
      <c r="N85" s="2"/>
      <c r="O85" s="2"/>
      <c r="P85" s="2"/>
      <c r="Q85" s="2"/>
      <c r="R85" s="2"/>
      <c r="S85" s="2"/>
      <c r="T85" s="2"/>
      <c r="U85" s="2"/>
      <c r="V85" s="2"/>
      <c r="W85" s="2"/>
      <c r="X85" s="2"/>
      <c r="Y85" s="2"/>
      <c r="Z85" s="2"/>
      <c r="AA85" s="2"/>
      <c r="AB85" s="2"/>
    </row>
    <row r="86" spans="1:28">
      <c r="A86" s="2"/>
      <c r="B86" s="2"/>
      <c r="C86" s="10"/>
      <c r="D86" s="10"/>
      <c r="E86" s="2"/>
      <c r="F86" s="2"/>
      <c r="G86" s="2"/>
      <c r="H86" s="2"/>
      <c r="I86" s="2"/>
      <c r="J86" s="2"/>
      <c r="K86" s="2"/>
      <c r="L86" s="2"/>
      <c r="M86" s="2"/>
      <c r="N86" s="2"/>
      <c r="O86" s="2"/>
      <c r="P86" s="2"/>
      <c r="Q86" s="2"/>
      <c r="R86" s="2"/>
      <c r="S86" s="2"/>
      <c r="T86" s="2"/>
      <c r="U86" s="2"/>
      <c r="V86" s="2"/>
      <c r="W86" s="2"/>
      <c r="X86" s="2"/>
      <c r="Y86" s="2"/>
      <c r="Z86" s="2"/>
      <c r="AA86" s="2"/>
      <c r="AB86" s="2"/>
    </row>
    <row r="87" spans="1:28">
      <c r="A87" s="2"/>
      <c r="B87" s="2"/>
      <c r="C87" s="10"/>
      <c r="D87" s="10"/>
      <c r="E87" s="2"/>
      <c r="F87" s="2"/>
      <c r="G87" s="2"/>
      <c r="H87" s="2"/>
      <c r="I87" s="2"/>
      <c r="J87" s="2"/>
      <c r="K87" s="2"/>
      <c r="L87" s="2"/>
      <c r="M87" s="2"/>
      <c r="N87" s="2"/>
      <c r="O87" s="2"/>
      <c r="P87" s="2"/>
      <c r="Q87" s="2"/>
      <c r="R87" s="2"/>
      <c r="S87" s="2"/>
      <c r="T87" s="2"/>
      <c r="U87" s="2"/>
      <c r="V87" s="2"/>
      <c r="W87" s="2"/>
      <c r="X87" s="2"/>
      <c r="Y87" s="2"/>
      <c r="Z87" s="2"/>
      <c r="AA87" s="2"/>
      <c r="AB87" s="2"/>
    </row>
    <row r="88" spans="1:28">
      <c r="A88" s="2"/>
      <c r="B88" s="2"/>
      <c r="C88" s="10"/>
      <c r="D88" s="10"/>
      <c r="E88" s="2"/>
      <c r="F88" s="2"/>
      <c r="G88" s="2"/>
      <c r="H88" s="2"/>
      <c r="I88" s="2"/>
      <c r="J88" s="2"/>
      <c r="K88" s="2"/>
      <c r="L88" s="2"/>
      <c r="M88" s="2"/>
      <c r="N88" s="2"/>
      <c r="O88" s="2"/>
      <c r="P88" s="2"/>
      <c r="Q88" s="2"/>
      <c r="R88" s="2"/>
      <c r="S88" s="2"/>
      <c r="T88" s="2"/>
      <c r="U88" s="2"/>
      <c r="V88" s="2"/>
      <c r="W88" s="2"/>
      <c r="X88" s="2"/>
      <c r="Y88" s="2"/>
      <c r="Z88" s="2"/>
      <c r="AA88" s="2"/>
      <c r="AB88" s="2"/>
    </row>
    <row r="89" spans="1:28">
      <c r="A89" s="2"/>
      <c r="B89" s="2"/>
      <c r="C89" s="10"/>
      <c r="D89" s="10"/>
      <c r="E89" s="2"/>
      <c r="F89" s="2"/>
      <c r="G89" s="2"/>
      <c r="H89" s="2"/>
      <c r="I89" s="2"/>
      <c r="J89" s="2"/>
      <c r="K89" s="2"/>
      <c r="L89" s="2"/>
      <c r="M89" s="2"/>
      <c r="N89" s="2"/>
      <c r="O89" s="2"/>
      <c r="P89" s="2"/>
      <c r="Q89" s="2"/>
      <c r="R89" s="2"/>
      <c r="S89" s="2"/>
      <c r="T89" s="2"/>
      <c r="U89" s="2"/>
      <c r="V89" s="2"/>
      <c r="W89" s="2"/>
      <c r="X89" s="2"/>
      <c r="Y89" s="2"/>
      <c r="Z89" s="2"/>
      <c r="AA89" s="2"/>
      <c r="AB89" s="2"/>
    </row>
    <row r="90" spans="1:28">
      <c r="A90" s="2"/>
      <c r="B90" s="2"/>
      <c r="C90" s="10"/>
      <c r="D90" s="10"/>
      <c r="E90" s="2"/>
      <c r="F90" s="2"/>
      <c r="G90" s="2"/>
      <c r="H90" s="2"/>
      <c r="I90" s="2"/>
      <c r="J90" s="2"/>
      <c r="K90" s="2"/>
      <c r="L90" s="2"/>
      <c r="M90" s="2"/>
      <c r="N90" s="2"/>
      <c r="O90" s="2"/>
      <c r="P90" s="2"/>
      <c r="Q90" s="2"/>
      <c r="R90" s="2"/>
      <c r="S90" s="2"/>
      <c r="T90" s="2"/>
      <c r="U90" s="2"/>
      <c r="V90" s="2"/>
      <c r="W90" s="2"/>
      <c r="X90" s="2"/>
      <c r="Y90" s="2"/>
      <c r="Z90" s="2"/>
      <c r="AA90" s="2"/>
      <c r="AB90" s="2"/>
    </row>
    <row r="91" spans="1:28">
      <c r="A91" s="2"/>
      <c r="B91" s="2"/>
      <c r="C91" s="10"/>
      <c r="D91" s="10"/>
      <c r="E91" s="2"/>
      <c r="F91" s="2"/>
      <c r="G91" s="2"/>
      <c r="H91" s="2"/>
      <c r="I91" s="2"/>
      <c r="J91" s="2"/>
      <c r="K91" s="2"/>
      <c r="L91" s="2"/>
      <c r="M91" s="2"/>
      <c r="N91" s="2"/>
      <c r="O91" s="2"/>
      <c r="P91" s="2"/>
      <c r="Q91" s="2"/>
      <c r="R91" s="2"/>
      <c r="S91" s="2"/>
      <c r="T91" s="2"/>
      <c r="U91" s="2"/>
      <c r="V91" s="2"/>
      <c r="W91" s="2"/>
      <c r="X91" s="2"/>
      <c r="Y91" s="2"/>
      <c r="Z91" s="2"/>
      <c r="AA91" s="2"/>
      <c r="AB91" s="2"/>
    </row>
    <row r="92" spans="1:28">
      <c r="A92" s="2"/>
      <c r="B92" s="2"/>
      <c r="C92" s="10"/>
      <c r="D92" s="10"/>
      <c r="E92" s="2"/>
      <c r="F92" s="2"/>
      <c r="G92" s="2"/>
      <c r="H92" s="2"/>
      <c r="I92" s="2"/>
      <c r="J92" s="2"/>
      <c r="K92" s="2"/>
      <c r="L92" s="2"/>
      <c r="M92" s="2"/>
      <c r="N92" s="2"/>
      <c r="O92" s="2"/>
      <c r="P92" s="2"/>
      <c r="Q92" s="2"/>
      <c r="R92" s="2"/>
      <c r="S92" s="2"/>
      <c r="T92" s="2"/>
      <c r="U92" s="2"/>
      <c r="V92" s="2"/>
      <c r="W92" s="2"/>
      <c r="X92" s="2"/>
      <c r="Y92" s="2"/>
      <c r="Z92" s="2"/>
      <c r="AA92" s="2"/>
      <c r="AB92" s="2"/>
    </row>
    <row r="93" spans="1:28">
      <c r="A93" s="2"/>
      <c r="B93" s="2"/>
      <c r="C93" s="10"/>
      <c r="D93" s="10"/>
      <c r="E93" s="2"/>
      <c r="F93" s="2"/>
      <c r="G93" s="2"/>
      <c r="H93" s="2"/>
      <c r="I93" s="2"/>
      <c r="J93" s="2"/>
      <c r="K93" s="2"/>
      <c r="L93" s="2"/>
      <c r="M93" s="2"/>
      <c r="N93" s="2"/>
      <c r="O93" s="2"/>
      <c r="P93" s="2"/>
      <c r="Q93" s="2"/>
      <c r="R93" s="2"/>
      <c r="S93" s="2"/>
      <c r="T93" s="2"/>
      <c r="U93" s="2"/>
      <c r="V93" s="2"/>
      <c r="W93" s="2"/>
      <c r="X93" s="2"/>
      <c r="Y93" s="2"/>
      <c r="Z93" s="2"/>
      <c r="AA93" s="2"/>
      <c r="AB93" s="2"/>
    </row>
    <row r="94" spans="1:28">
      <c r="A94" s="2"/>
      <c r="B94" s="2"/>
      <c r="C94" s="10"/>
      <c r="D94" s="10"/>
      <c r="E94" s="2"/>
      <c r="F94" s="2"/>
      <c r="G94" s="2"/>
      <c r="H94" s="2"/>
      <c r="I94" s="2"/>
      <c r="J94" s="2"/>
      <c r="K94" s="2"/>
      <c r="L94" s="2"/>
      <c r="M94" s="2"/>
      <c r="N94" s="2"/>
      <c r="O94" s="2"/>
      <c r="P94" s="2"/>
      <c r="Q94" s="2"/>
      <c r="R94" s="2"/>
      <c r="S94" s="2"/>
      <c r="T94" s="2"/>
      <c r="U94" s="2"/>
      <c r="V94" s="2"/>
      <c r="W94" s="2"/>
      <c r="X94" s="2"/>
      <c r="Y94" s="2"/>
      <c r="Z94" s="2"/>
      <c r="AA94" s="2"/>
      <c r="AB94" s="2"/>
    </row>
    <row r="95" spans="1:28">
      <c r="A95" s="2"/>
      <c r="B95" s="2"/>
      <c r="C95" s="10"/>
      <c r="D95" s="10"/>
      <c r="E95" s="2"/>
      <c r="F95" s="2"/>
      <c r="G95" s="2"/>
      <c r="H95" s="2"/>
      <c r="I95" s="2"/>
      <c r="J95" s="2"/>
      <c r="K95" s="2"/>
      <c r="L95" s="2"/>
      <c r="M95" s="2"/>
      <c r="N95" s="2"/>
      <c r="O95" s="2"/>
      <c r="P95" s="2"/>
      <c r="Q95" s="2"/>
      <c r="R95" s="2"/>
      <c r="S95" s="2"/>
      <c r="T95" s="2"/>
      <c r="U95" s="2"/>
      <c r="V95" s="2"/>
      <c r="W95" s="2"/>
      <c r="X95" s="2"/>
      <c r="Y95" s="2"/>
      <c r="Z95" s="2"/>
      <c r="AA95" s="2"/>
      <c r="AB95" s="2"/>
    </row>
  </sheetData>
  <mergeCells count="1">
    <mergeCell ref="A1:N1"/>
  </mergeCells>
  <conditionalFormatting sqref="A8:C13">
    <cfRule type="expression" dxfId="15" priority="14">
      <formula>$B8&lt;3</formula>
    </cfRule>
    <cfRule type="expression" dxfId="14" priority="15">
      <formula>AND($B8&gt;=3,$B8&lt;4)</formula>
    </cfRule>
    <cfRule type="expression" dxfId="13" priority="16">
      <formula>$B8&gt;=4</formula>
    </cfRule>
  </conditionalFormatting>
  <conditionalFormatting sqref="B4">
    <cfRule type="containsText" dxfId="12" priority="6" operator="containsText" text="Low Risk">
      <formula>NOT(ISERROR(SEARCH("Low Risk",B4)))</formula>
    </cfRule>
    <cfRule type="containsText" dxfId="11" priority="7" operator="containsText" text="Moderate Risk">
      <formula>NOT(ISERROR(SEARCH("Moderate Risk",B4)))</formula>
    </cfRule>
    <cfRule type="containsText" dxfId="10" priority="8" operator="containsText" text="Critical Risk">
      <formula>NOT(ISERROR(SEARCH("Critical Risk",B4)))</formula>
    </cfRule>
  </conditionalFormatting>
  <conditionalFormatting sqref="F3">
    <cfRule type="containsText" dxfId="9" priority="9" operator="containsText" text="Optimised">
      <formula>NOT(ISERROR(SEARCH("Optimised",F3)))</formula>
    </cfRule>
    <cfRule type="containsText" dxfId="8" priority="10" operator="containsText" text="Established">
      <formula>NOT(ISERROR(SEARCH("Established",F3)))</formula>
    </cfRule>
    <cfRule type="containsText" dxfId="7" priority="11" operator="containsText" text="Developing">
      <formula>NOT(ISERROR(SEARCH("Developing",F3)))</formula>
    </cfRule>
    <cfRule type="containsText" dxfId="6" priority="12" operator="containsText" text="Emerging">
      <formula>NOT(ISERROR(SEARCH("Emerging",F3)))</formula>
    </cfRule>
    <cfRule type="containsText" dxfId="5" priority="13" operator="containsText" text="Initial">
      <formula>NOT(ISERROR(SEARCH("Initial",F3)))</formula>
    </cfRule>
  </conditionalFormatting>
  <conditionalFormatting sqref="F5">
    <cfRule type="containsText" dxfId="4" priority="1" operator="containsText" text="Developing">
      <formula>NOT(ISERROR(SEARCH("Developing",F5)))</formula>
    </cfRule>
    <cfRule type="containsText" dxfId="3" priority="2" operator="containsText" text="Managed">
      <formula>NOT(ISERROR(SEARCH("Managed",F5)))</formula>
    </cfRule>
    <cfRule type="containsText" dxfId="2" priority="3" operator="containsText" text="Strong">
      <formula>NOT(ISERROR(SEARCH("Strong",F5)))</formula>
    </cfRule>
    <cfRule type="containsText" dxfId="1" priority="4" operator="containsText" text="Opimised">
      <formula>NOT(ISERROR(SEARCH("Opimised",F5)))</formula>
    </cfRule>
    <cfRule type="containsText" dxfId="0" priority="5" operator="containsText" text="Low">
      <formula>NOT(ISERROR(SEARCH("Low",F5)))</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72"/>
  <sheetViews>
    <sheetView showGridLines="0" workbookViewId="0">
      <selection activeCell="D55" sqref="D55"/>
    </sheetView>
  </sheetViews>
  <sheetFormatPr defaultColWidth="0" defaultRowHeight="14" zeroHeight="1"/>
  <cols>
    <col min="1" max="1" width="1.83203125" customWidth="1"/>
    <col min="2" max="2" width="11.75" style="1" customWidth="1"/>
    <col min="3" max="3" width="19" customWidth="1"/>
    <col min="4" max="4" width="25.25" customWidth="1"/>
    <col min="5" max="5" width="43.08203125" customWidth="1"/>
    <col min="6" max="6" width="36.58203125" customWidth="1"/>
    <col min="7" max="7" width="1.83203125" customWidth="1"/>
    <col min="8" max="27" width="0" hidden="1" customWidth="1"/>
    <col min="28" max="16384" width="8.6640625" hidden="1"/>
  </cols>
  <sheetData>
    <row r="1" spans="1:27" ht="20">
      <c r="A1" s="121" t="s">
        <v>9</v>
      </c>
      <c r="B1" s="122"/>
      <c r="C1" s="123"/>
      <c r="D1" s="123"/>
      <c r="E1" s="123"/>
      <c r="F1" s="123"/>
      <c r="G1" s="123"/>
      <c r="H1" s="2"/>
      <c r="I1" s="2"/>
      <c r="J1" s="2"/>
      <c r="K1" s="2"/>
      <c r="L1" s="2"/>
      <c r="M1" s="2"/>
      <c r="N1" s="2"/>
      <c r="O1" s="2"/>
      <c r="P1" s="2"/>
      <c r="Q1" s="2"/>
      <c r="R1" s="2"/>
      <c r="S1" s="2"/>
      <c r="T1" s="2"/>
      <c r="U1" s="2"/>
      <c r="V1" s="2"/>
      <c r="W1" s="2"/>
      <c r="X1" s="2"/>
      <c r="Y1" s="2"/>
      <c r="Z1" s="2"/>
      <c r="AA1" s="2"/>
    </row>
    <row r="2" spans="1:27">
      <c r="A2" s="2"/>
      <c r="B2" s="10"/>
      <c r="C2" s="2"/>
      <c r="D2" s="2"/>
      <c r="E2" s="2"/>
      <c r="F2" s="2"/>
      <c r="G2" s="2"/>
      <c r="H2" s="2"/>
      <c r="I2" s="2"/>
      <c r="J2" s="2"/>
      <c r="K2" s="2"/>
      <c r="L2" s="2"/>
      <c r="M2" s="2"/>
      <c r="N2" s="2"/>
      <c r="O2" s="2"/>
      <c r="P2" s="2"/>
      <c r="Q2" s="2"/>
      <c r="R2" s="2"/>
      <c r="S2" s="2"/>
      <c r="T2" s="2"/>
      <c r="U2" s="2"/>
      <c r="V2" s="2"/>
      <c r="W2" s="2"/>
      <c r="X2" s="2"/>
      <c r="Y2" s="2"/>
      <c r="Z2" s="2"/>
      <c r="AA2" s="2"/>
    </row>
    <row r="3" spans="1:27" s="1" customFormat="1">
      <c r="A3" s="10"/>
      <c r="B3" s="10"/>
      <c r="C3" s="10"/>
      <c r="D3" s="10"/>
      <c r="E3" s="10"/>
      <c r="F3" s="10"/>
      <c r="G3" s="10"/>
      <c r="H3" s="10"/>
      <c r="I3" s="10"/>
      <c r="J3" s="10"/>
      <c r="K3" s="10"/>
      <c r="L3" s="10"/>
      <c r="M3" s="10"/>
      <c r="N3" s="10"/>
      <c r="O3" s="10"/>
      <c r="P3" s="10"/>
      <c r="Q3" s="10"/>
      <c r="R3" s="10"/>
      <c r="S3" s="10"/>
      <c r="T3" s="10"/>
      <c r="U3" s="10"/>
      <c r="V3" s="10"/>
      <c r="W3" s="10"/>
      <c r="X3" s="10"/>
      <c r="Y3" s="10"/>
      <c r="Z3" s="10"/>
      <c r="AA3" s="10"/>
    </row>
    <row r="4" spans="1:27" s="1" customFormat="1">
      <c r="A4" s="10"/>
      <c r="B4" s="10"/>
      <c r="C4" s="79" t="s">
        <v>74</v>
      </c>
      <c r="D4" s="79" t="s">
        <v>75</v>
      </c>
      <c r="E4" s="10"/>
      <c r="F4" s="10"/>
      <c r="G4" s="10"/>
      <c r="H4" s="10"/>
      <c r="I4" s="10"/>
      <c r="J4" s="10"/>
      <c r="K4" s="10"/>
      <c r="L4" s="10"/>
      <c r="M4" s="10"/>
      <c r="N4" s="10"/>
      <c r="O4" s="10"/>
      <c r="P4" s="10"/>
      <c r="Q4" s="10"/>
      <c r="R4" s="10"/>
      <c r="S4" s="10"/>
      <c r="T4" s="10"/>
      <c r="U4" s="10"/>
      <c r="V4" s="10"/>
      <c r="W4" s="10"/>
      <c r="X4" s="10"/>
      <c r="Y4" s="10"/>
      <c r="Z4" s="10"/>
      <c r="AA4" s="10"/>
    </row>
    <row r="5" spans="1:27" s="1" customFormat="1" ht="28">
      <c r="A5" s="10"/>
      <c r="B5" s="10"/>
      <c r="C5" s="83" t="s">
        <v>138</v>
      </c>
      <c r="D5" s="84">
        <f>'Agentic Delivery Scoring Engine'!B10</f>
        <v>1.5</v>
      </c>
      <c r="E5" s="10"/>
      <c r="F5" s="86"/>
      <c r="G5" s="10"/>
      <c r="H5" s="10"/>
      <c r="I5" s="10"/>
      <c r="J5" s="10"/>
      <c r="K5" s="10"/>
      <c r="L5" s="10"/>
      <c r="M5" s="10"/>
      <c r="N5" s="10"/>
      <c r="O5" s="10"/>
      <c r="P5" s="10"/>
      <c r="Q5" s="10"/>
      <c r="R5" s="10"/>
      <c r="S5" s="10"/>
      <c r="T5" s="10"/>
      <c r="U5" s="10"/>
      <c r="V5" s="10"/>
      <c r="W5" s="10"/>
      <c r="X5" s="10"/>
      <c r="Y5" s="10"/>
      <c r="Z5" s="10"/>
      <c r="AA5" s="10"/>
    </row>
    <row r="6" spans="1:27" s="1" customFormat="1" ht="28">
      <c r="A6" s="10"/>
      <c r="B6" s="10"/>
      <c r="C6" s="83" t="s">
        <v>139</v>
      </c>
      <c r="D6" s="85" t="str">
        <f>'Agentic Delivery Scoring Engine'!B11</f>
        <v>Assisted Delivery</v>
      </c>
      <c r="E6" s="10"/>
      <c r="F6" s="10"/>
      <c r="G6" s="10"/>
      <c r="H6" s="10"/>
      <c r="I6" s="10"/>
      <c r="J6" s="10"/>
      <c r="K6" s="10"/>
      <c r="L6" s="10"/>
      <c r="M6" s="10"/>
      <c r="N6" s="10"/>
      <c r="O6" s="10"/>
      <c r="P6" s="10"/>
      <c r="Q6" s="10"/>
      <c r="R6" s="10"/>
      <c r="S6" s="10"/>
      <c r="T6" s="10"/>
      <c r="U6" s="10"/>
      <c r="V6" s="10"/>
      <c r="W6" s="10"/>
      <c r="X6" s="10"/>
      <c r="Y6" s="10"/>
      <c r="Z6" s="10"/>
      <c r="AA6" s="10"/>
    </row>
    <row r="7" spans="1:27" s="1" customFormat="1">
      <c r="A7" s="10"/>
      <c r="B7" s="10"/>
      <c r="C7" s="83" t="s">
        <v>31</v>
      </c>
      <c r="D7" s="85" t="str">
        <f>'Agentic Delivery Scoring Engine'!B12</f>
        <v>Critical Risk</v>
      </c>
      <c r="E7" s="10"/>
      <c r="F7" s="10"/>
      <c r="G7" s="10"/>
      <c r="H7" s="10"/>
      <c r="I7" s="10"/>
      <c r="J7" s="10"/>
      <c r="K7" s="10"/>
      <c r="L7" s="10"/>
      <c r="M7" s="10"/>
      <c r="N7" s="10"/>
      <c r="O7" s="10"/>
      <c r="P7" s="10"/>
      <c r="Q7" s="10"/>
      <c r="R7" s="10"/>
      <c r="S7" s="10"/>
      <c r="T7" s="10"/>
      <c r="U7" s="10"/>
      <c r="V7" s="10"/>
      <c r="W7" s="10"/>
      <c r="X7" s="10"/>
      <c r="Y7" s="10"/>
      <c r="Z7" s="10"/>
      <c r="AA7" s="10"/>
    </row>
    <row r="8" spans="1:27" s="1" customFormat="1" ht="28">
      <c r="A8" s="10"/>
      <c r="B8" s="10"/>
      <c r="C8" s="83" t="s">
        <v>76</v>
      </c>
      <c r="D8" s="85" t="str">
        <f>'Agentic Delivery Scoring Engine'!B14</f>
        <v>Strategy &amp; Value</v>
      </c>
      <c r="E8" s="10"/>
      <c r="F8" s="10"/>
      <c r="G8" s="10"/>
      <c r="H8" s="10"/>
      <c r="I8" s="10"/>
      <c r="J8" s="10"/>
      <c r="K8" s="10"/>
      <c r="L8" s="10"/>
      <c r="M8" s="10"/>
      <c r="N8" s="10"/>
      <c r="O8" s="10"/>
      <c r="P8" s="10"/>
      <c r="Q8" s="10"/>
      <c r="R8" s="10"/>
      <c r="S8" s="10"/>
      <c r="T8" s="10"/>
      <c r="U8" s="10"/>
      <c r="V8" s="10"/>
      <c r="W8" s="10"/>
      <c r="X8" s="10"/>
      <c r="Y8" s="10"/>
      <c r="Z8" s="10"/>
      <c r="AA8" s="10"/>
    </row>
    <row r="9" spans="1:27" s="1" customFormat="1" ht="28">
      <c r="A9" s="10"/>
      <c r="B9" s="10"/>
      <c r="C9" s="83" t="s">
        <v>77</v>
      </c>
      <c r="D9" s="85" t="str">
        <f>'Agentic Delivery Scoring Engine'!B15</f>
        <v>Human-in-the-Loop</v>
      </c>
      <c r="E9" s="10"/>
      <c r="F9" s="10"/>
      <c r="G9" s="10"/>
      <c r="H9" s="10"/>
      <c r="I9" s="10"/>
      <c r="J9" s="10"/>
      <c r="K9" s="10"/>
      <c r="L9" s="10"/>
      <c r="M9" s="10"/>
      <c r="N9" s="10"/>
      <c r="O9" s="10"/>
      <c r="P9" s="10"/>
      <c r="Q9" s="10"/>
      <c r="R9" s="10"/>
      <c r="S9" s="10"/>
      <c r="T9" s="10"/>
      <c r="U9" s="10"/>
      <c r="V9" s="10"/>
      <c r="W9" s="10"/>
      <c r="X9" s="10"/>
      <c r="Y9" s="10"/>
      <c r="Z9" s="10"/>
      <c r="AA9" s="10"/>
    </row>
    <row r="10" spans="1:27" s="1" customFormat="1">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row>
    <row r="11" spans="1:27" ht="14.5" thickBot="1">
      <c r="C11" s="82" t="s">
        <v>16</v>
      </c>
      <c r="D11" s="2"/>
      <c r="E11" s="2"/>
      <c r="F11" s="2"/>
      <c r="G11" s="2"/>
      <c r="H11" s="2"/>
      <c r="I11" s="2"/>
      <c r="J11" s="2"/>
      <c r="K11" s="2"/>
      <c r="L11" s="2"/>
      <c r="M11" s="2"/>
      <c r="N11" s="2"/>
      <c r="O11" s="2"/>
      <c r="P11" s="2"/>
      <c r="Q11" s="2"/>
      <c r="R11" s="2"/>
      <c r="S11" s="2"/>
      <c r="T11" s="2"/>
      <c r="U11" s="2"/>
      <c r="V11" s="2"/>
      <c r="W11" s="2"/>
      <c r="X11" s="2"/>
      <c r="Y11" s="2"/>
      <c r="Z11" s="2"/>
      <c r="AA11" s="2"/>
    </row>
    <row r="12" spans="1:27" s="1" customFormat="1" ht="34" customHeight="1">
      <c r="A12" s="80"/>
      <c r="B12" s="80"/>
      <c r="C12" s="124" t="str">
        <f>IF('Agentic Delivery Scoring Engine'!B10="","Complete the Agentic Delivery Assessment to generate an executive recommendation.",IF('Agentic Delivery Scoring Engine'!B10&lt;3,"The organisation should prioritise foundational Agentic Delivery capabilities over the next 0-3 months. Focus on strategy, governance ownership, human-in-the-loop controls, decision rights and workforce impact assessment.",IF('Agentic Delivery Scoring Engine'!B10&lt;4,"The organisation has a developing Agentic Delivery maturity profile. Focus on formalising the operating model, strengthening governance and risk controls, embedding human oversight and enhancing technology platforms.",IF('Agentic Delivery Scoring Engine'!B10&lt;4.5,"The organisation has a strong Agentic Delivery foundation. Focus on scaling agent adoption, optimising human-agent collaboration, strengthening measurement and accelerating value realisation.","The organisation demonstrates advanced Agentic Delivery maturity. Focus on continuous optimisation, autonomous delivery capabilities, enterprise-wide value realisation, governance excellence and sustained innovation."))))</f>
        <v>The organisation should prioritise foundational Agentic Delivery capabilities over the next 0-3 months. Focus on strategy, governance ownership, human-in-the-loop controls, decision rights and workforce impact assessment.</v>
      </c>
      <c r="D12" s="125"/>
      <c r="E12" s="125"/>
      <c r="F12" s="126"/>
      <c r="G12" s="10"/>
      <c r="H12" s="10"/>
      <c r="I12" s="10"/>
      <c r="J12" s="10"/>
      <c r="K12" s="10"/>
      <c r="L12" s="10"/>
      <c r="M12" s="10"/>
      <c r="N12" s="10"/>
      <c r="O12" s="10"/>
      <c r="P12" s="10"/>
      <c r="Q12" s="10"/>
      <c r="R12" s="10"/>
      <c r="S12" s="10"/>
      <c r="T12" s="10"/>
      <c r="U12" s="10"/>
      <c r="V12" s="10"/>
      <c r="W12" s="10"/>
      <c r="X12" s="10"/>
      <c r="Y12" s="10"/>
      <c r="Z12" s="10"/>
      <c r="AA12" s="10"/>
    </row>
    <row r="13" spans="1:27" s="1" customFormat="1" ht="20" customHeight="1" thickBot="1">
      <c r="A13" s="80"/>
      <c r="B13" s="80"/>
      <c r="C13" s="127"/>
      <c r="D13" s="128"/>
      <c r="E13" s="128"/>
      <c r="F13" s="129"/>
      <c r="G13" s="10"/>
      <c r="H13" s="10"/>
      <c r="I13" s="10"/>
      <c r="J13" s="10"/>
      <c r="K13" s="10"/>
      <c r="L13" s="10"/>
      <c r="M13" s="10"/>
      <c r="N13" s="10"/>
      <c r="O13" s="10"/>
      <c r="P13" s="10"/>
      <c r="Q13" s="10"/>
      <c r="R13" s="10"/>
      <c r="S13" s="10"/>
      <c r="T13" s="10"/>
      <c r="U13" s="10"/>
      <c r="V13" s="10"/>
      <c r="W13" s="10"/>
      <c r="X13" s="10"/>
      <c r="Y13" s="10"/>
      <c r="Z13" s="10"/>
      <c r="AA13" s="10"/>
    </row>
    <row r="14" spans="1:27" s="1" customFormat="1">
      <c r="A14" s="80"/>
      <c r="B14" s="80"/>
      <c r="C14" s="80"/>
      <c r="D14" s="10"/>
      <c r="E14" s="10"/>
      <c r="F14" s="10"/>
      <c r="G14" s="10"/>
      <c r="H14" s="10"/>
      <c r="I14" s="10"/>
      <c r="J14" s="10"/>
      <c r="K14" s="10"/>
      <c r="L14" s="10"/>
      <c r="M14" s="10"/>
      <c r="N14" s="10"/>
      <c r="O14" s="10"/>
      <c r="P14" s="10"/>
      <c r="Q14" s="10"/>
      <c r="R14" s="10"/>
      <c r="S14" s="10"/>
      <c r="T14" s="10"/>
      <c r="U14" s="10"/>
      <c r="V14" s="10"/>
      <c r="W14" s="10"/>
      <c r="X14" s="10"/>
      <c r="Y14" s="10"/>
      <c r="Z14" s="10"/>
      <c r="AA14" s="10"/>
    </row>
    <row r="15" spans="1:27" s="1" customFormat="1">
      <c r="A15" s="80"/>
      <c r="B15" s="80"/>
      <c r="C15" s="80"/>
      <c r="D15" s="10"/>
      <c r="E15" s="10"/>
      <c r="F15" s="10"/>
      <c r="G15" s="10"/>
      <c r="H15" s="10"/>
      <c r="I15" s="10"/>
      <c r="J15" s="10"/>
      <c r="K15" s="10"/>
      <c r="L15" s="10"/>
      <c r="M15" s="10"/>
      <c r="N15" s="10"/>
      <c r="O15" s="10"/>
      <c r="P15" s="10"/>
      <c r="Q15" s="10"/>
      <c r="R15" s="10"/>
      <c r="S15" s="10"/>
      <c r="T15" s="10"/>
      <c r="U15" s="10"/>
      <c r="V15" s="10"/>
      <c r="W15" s="10"/>
      <c r="X15" s="10"/>
      <c r="Y15" s="10"/>
      <c r="Z15" s="10"/>
      <c r="AA15" s="10"/>
    </row>
    <row r="16" spans="1:27" s="1" customFormat="1">
      <c r="A16" s="80"/>
      <c r="B16" s="80"/>
      <c r="C16" s="80"/>
      <c r="D16" s="10"/>
      <c r="E16" s="10"/>
      <c r="F16" s="10"/>
      <c r="G16" s="10"/>
      <c r="H16" s="10"/>
      <c r="I16" s="10"/>
      <c r="J16" s="10"/>
      <c r="K16" s="10"/>
      <c r="L16" s="10"/>
      <c r="M16" s="10"/>
      <c r="N16" s="10"/>
      <c r="O16" s="10"/>
      <c r="P16" s="10"/>
      <c r="Q16" s="10"/>
      <c r="R16" s="10"/>
      <c r="S16" s="10"/>
      <c r="T16" s="10"/>
      <c r="U16" s="10"/>
      <c r="V16" s="10"/>
      <c r="W16" s="10"/>
      <c r="X16" s="10"/>
      <c r="Y16" s="10"/>
      <c r="Z16" s="10"/>
      <c r="AA16" s="10"/>
    </row>
    <row r="17" spans="1:27" ht="30">
      <c r="A17" s="2"/>
      <c r="B17" s="10"/>
      <c r="C17" s="11" t="s">
        <v>10</v>
      </c>
      <c r="G17" s="2"/>
      <c r="H17" s="2"/>
      <c r="I17" s="2"/>
      <c r="J17" s="2"/>
      <c r="K17" s="2"/>
      <c r="L17" s="2"/>
      <c r="M17" s="2"/>
      <c r="N17" s="2"/>
      <c r="O17" s="2"/>
      <c r="P17" s="2"/>
      <c r="Q17" s="2"/>
      <c r="R17" s="2"/>
      <c r="S17" s="2"/>
      <c r="T17" s="2"/>
      <c r="U17" s="2"/>
      <c r="V17" s="2"/>
      <c r="W17" s="2"/>
      <c r="X17" s="2"/>
      <c r="Y17" s="2"/>
      <c r="Z17" s="2"/>
      <c r="AA17" s="2"/>
    </row>
    <row r="18" spans="1:27">
      <c r="A18" s="2"/>
      <c r="B18" s="10"/>
      <c r="G18" s="2"/>
      <c r="H18" s="2"/>
      <c r="I18" s="2"/>
      <c r="J18" s="2"/>
      <c r="K18" s="2"/>
      <c r="L18" s="2"/>
      <c r="M18" s="2"/>
      <c r="N18" s="2"/>
      <c r="O18" s="2"/>
      <c r="P18" s="2"/>
      <c r="Q18" s="2"/>
      <c r="R18" s="2"/>
      <c r="S18" s="2"/>
      <c r="T18" s="2"/>
      <c r="U18" s="2"/>
      <c r="V18" s="2"/>
      <c r="W18" s="2"/>
      <c r="X18" s="2"/>
      <c r="Y18" s="2"/>
      <c r="Z18" s="2"/>
      <c r="AA18" s="2"/>
    </row>
    <row r="19" spans="1:27">
      <c r="A19" s="2"/>
      <c r="B19" s="10"/>
      <c r="C19" s="82" t="s">
        <v>68</v>
      </c>
      <c r="G19" s="2"/>
      <c r="H19" s="2"/>
      <c r="I19" s="2"/>
      <c r="J19" s="2"/>
      <c r="K19" s="2"/>
      <c r="L19" s="2"/>
      <c r="M19" s="2"/>
      <c r="N19" s="2"/>
      <c r="O19" s="2"/>
      <c r="P19" s="2"/>
      <c r="Q19" s="2"/>
      <c r="R19" s="2"/>
      <c r="S19" s="2"/>
      <c r="T19" s="2"/>
      <c r="U19" s="2"/>
      <c r="V19" s="2"/>
      <c r="W19" s="2"/>
      <c r="X19" s="2"/>
      <c r="Y19" s="2"/>
      <c r="Z19" s="2"/>
      <c r="AA19" s="2"/>
    </row>
    <row r="20" spans="1:27">
      <c r="A20" s="2"/>
      <c r="B20" s="10"/>
      <c r="G20" s="2"/>
      <c r="H20" s="2"/>
      <c r="I20" s="2"/>
      <c r="J20" s="2"/>
      <c r="K20" s="2"/>
      <c r="L20" s="2"/>
      <c r="M20" s="2"/>
      <c r="N20" s="2"/>
      <c r="O20" s="2"/>
      <c r="P20" s="2"/>
      <c r="Q20" s="2"/>
      <c r="R20" s="2"/>
      <c r="S20" s="2"/>
      <c r="T20" s="2"/>
      <c r="U20" s="2"/>
      <c r="V20" s="2"/>
      <c r="W20" s="2"/>
      <c r="X20" s="2"/>
      <c r="Y20" s="2"/>
      <c r="Z20" s="2"/>
      <c r="AA20" s="2"/>
    </row>
    <row r="21" spans="1:27">
      <c r="A21" s="2"/>
      <c r="B21" s="10"/>
      <c r="C21" t="s">
        <v>246</v>
      </c>
      <c r="G21" s="2"/>
      <c r="H21" s="2"/>
      <c r="I21" s="2"/>
      <c r="J21" s="2"/>
      <c r="K21" s="2"/>
      <c r="L21" s="2"/>
      <c r="M21" s="2"/>
      <c r="N21" s="2"/>
      <c r="O21" s="2"/>
      <c r="P21" s="2"/>
      <c r="Q21" s="2"/>
      <c r="R21" s="2"/>
      <c r="S21" s="2"/>
      <c r="T21" s="2"/>
      <c r="U21" s="2"/>
      <c r="V21" s="2"/>
      <c r="W21" s="2"/>
      <c r="X21" s="2"/>
      <c r="Y21" s="2"/>
      <c r="Z21" s="2"/>
      <c r="AA21" s="2"/>
    </row>
    <row r="22" spans="1:27">
      <c r="A22" s="2"/>
      <c r="B22" s="10"/>
      <c r="G22" s="2"/>
      <c r="H22" s="2"/>
      <c r="I22" s="2"/>
      <c r="J22" s="2"/>
      <c r="K22" s="2"/>
      <c r="L22" s="2"/>
      <c r="M22" s="2"/>
      <c r="N22" s="2"/>
      <c r="O22" s="2"/>
      <c r="P22" s="2"/>
      <c r="Q22" s="2"/>
      <c r="R22" s="2"/>
      <c r="S22" s="2"/>
      <c r="T22" s="2"/>
      <c r="U22" s="2"/>
      <c r="V22" s="2"/>
      <c r="W22" s="2"/>
      <c r="X22" s="2"/>
      <c r="Y22" s="2"/>
      <c r="Z22" s="2"/>
      <c r="AA22" s="2"/>
    </row>
    <row r="23" spans="1:27">
      <c r="A23" s="2"/>
      <c r="B23" s="79" t="s">
        <v>78</v>
      </c>
      <c r="C23" s="79" t="s">
        <v>29</v>
      </c>
      <c r="D23" s="79" t="s">
        <v>0</v>
      </c>
      <c r="E23" s="79" t="s">
        <v>65</v>
      </c>
      <c r="F23" s="79" t="s">
        <v>66</v>
      </c>
      <c r="G23" s="2"/>
      <c r="H23" s="2"/>
      <c r="I23" s="2"/>
      <c r="J23" s="2"/>
      <c r="K23" s="2"/>
      <c r="L23" s="2"/>
      <c r="M23" s="2"/>
      <c r="N23" s="2"/>
      <c r="O23" s="2"/>
      <c r="P23" s="2"/>
      <c r="Q23" s="2"/>
      <c r="R23" s="2"/>
      <c r="S23" s="2"/>
      <c r="T23" s="2"/>
      <c r="U23" s="2"/>
      <c r="V23" s="2"/>
      <c r="W23" s="2"/>
      <c r="X23" s="2"/>
      <c r="Y23" s="2"/>
      <c r="Z23" s="2"/>
      <c r="AA23" s="2"/>
    </row>
    <row r="24" spans="1:27" ht="56" customHeight="1">
      <c r="A24" s="2"/>
      <c r="B24" s="83">
        <v>1</v>
      </c>
      <c r="C24" s="61" t="str">
        <f>IF(D24="","",INDEX('Agentic Delivery Scoring Engine'!$A$4:$A$9,MATCH(D24,'Agentic Delivery Scoring Engine'!$B$4:$B$9,0)))</f>
        <v>Human-in-the-Loop</v>
      </c>
      <c r="D24" s="87">
        <f>IF(COUNT('Agentic Delivery Scoring Engine'!$B$4:$B$9)&gt;=1,SMALL('Agentic Delivery Scoring Engine'!$B$4:$B$9,1),"")</f>
        <v>1</v>
      </c>
      <c r="E24" s="61" t="str">
        <f>IF(C24="","",VLOOKUP(C24,'Domain Recommendation Library'!$B$7:$C$12,2,FALSE))</f>
        <v>Define decision rights, approvals and escalation controls.</v>
      </c>
      <c r="F24" s="61" t="str">
        <f>"Immediate Priority (0–3 Months)"</f>
        <v>Immediate Priority (0–3 Months)</v>
      </c>
      <c r="G24" s="2"/>
      <c r="H24" s="2"/>
      <c r="I24" s="2"/>
      <c r="J24" s="2"/>
      <c r="K24" s="2"/>
      <c r="L24" s="2"/>
      <c r="M24" s="2"/>
      <c r="N24" s="2"/>
      <c r="O24" s="2"/>
      <c r="P24" s="2"/>
      <c r="Q24" s="2"/>
      <c r="R24" s="2"/>
      <c r="S24" s="2"/>
      <c r="T24" s="2"/>
      <c r="U24" s="2"/>
      <c r="V24" s="2"/>
      <c r="W24" s="2"/>
      <c r="X24" s="2"/>
      <c r="Y24" s="2"/>
      <c r="Z24" s="2"/>
      <c r="AA24" s="2"/>
    </row>
    <row r="25" spans="1:27" ht="28">
      <c r="A25" s="2"/>
      <c r="B25" s="83">
        <v>2</v>
      </c>
      <c r="C25" s="61" t="str">
        <f>IF(D25="","",INDEX('Agentic Delivery Scoring Engine'!$A$4:$A$9,MATCH(D25,'Agentic Delivery Scoring Engine'!$B$4:$B$9,0)))</f>
        <v>Strategy &amp; Value</v>
      </c>
      <c r="D25" s="87">
        <f>IF(COUNT('Agentic Delivery Scoring Engine'!$B$4:$B$9)&gt;=2,SMALL('Agentic Delivery Scoring Engine'!$B$4:$B$9,2),"")</f>
        <v>2</v>
      </c>
      <c r="E25" s="61" t="str">
        <f>IF(C25="","",VLOOKUP(C25,'Domain Recommendation Library'!$B$7:$C$12,2,FALSE))</f>
        <v>Develop and approve an Agentic Delivery Strategy and roadmap.</v>
      </c>
      <c r="F25" s="61" t="str">
        <f t="shared" ref="F25:F26" si="0">"Immediate Priority (0–3 Months)"</f>
        <v>Immediate Priority (0–3 Months)</v>
      </c>
      <c r="G25" s="2"/>
      <c r="H25" s="2"/>
      <c r="I25" s="2"/>
      <c r="J25" s="2"/>
      <c r="K25" s="2"/>
      <c r="L25" s="2"/>
      <c r="M25" s="2"/>
      <c r="N25" s="2"/>
      <c r="O25" s="2"/>
      <c r="P25" s="2"/>
      <c r="Q25" s="2"/>
      <c r="R25" s="2"/>
      <c r="S25" s="2"/>
      <c r="T25" s="2"/>
      <c r="U25" s="2"/>
      <c r="V25" s="2"/>
      <c r="W25" s="2"/>
      <c r="X25" s="2"/>
      <c r="Y25" s="2"/>
      <c r="Z25" s="2"/>
      <c r="AA25" s="2"/>
    </row>
    <row r="26" spans="1:27">
      <c r="A26" s="2"/>
      <c r="B26" s="83">
        <v>3</v>
      </c>
      <c r="C26" s="61" t="str">
        <f>IF(D26="","",INDEX('Agentic Delivery Scoring Engine'!$A$4:$A$9,MATCH(D26,'Agentic Delivery Scoring Engine'!$B$4:$B$9,0)))</f>
        <v/>
      </c>
      <c r="D26" s="87" t="str">
        <f>IF(COUNT('Agentic Delivery Scoring Engine'!$B$4:$B$9)&gt;=3,SMALL('Agentic Delivery Scoring Engine'!$B$4:$B$9,3),"")</f>
        <v/>
      </c>
      <c r="E26" s="61" t="str">
        <f>IF(C26="","",VLOOKUP(C26,'Domain Recommendation Library'!$B$7:$C$12,2,FALSE))</f>
        <v/>
      </c>
      <c r="F26" s="61" t="str">
        <f t="shared" si="0"/>
        <v>Immediate Priority (0–3 Months)</v>
      </c>
      <c r="G26" s="2"/>
      <c r="H26" s="2"/>
      <c r="I26" s="2"/>
      <c r="J26" s="2"/>
      <c r="K26" s="2"/>
      <c r="L26" s="2"/>
      <c r="M26" s="2"/>
      <c r="N26" s="2"/>
      <c r="O26" s="2"/>
      <c r="P26" s="2"/>
      <c r="Q26" s="2"/>
      <c r="R26" s="2"/>
      <c r="S26" s="2"/>
      <c r="T26" s="2"/>
      <c r="U26" s="2"/>
      <c r="V26" s="2"/>
      <c r="W26" s="2"/>
      <c r="X26" s="2"/>
      <c r="Y26" s="2"/>
      <c r="Z26" s="2"/>
      <c r="AA26" s="2"/>
    </row>
    <row r="27" spans="1:27" s="1" customFormat="1">
      <c r="A27" s="10"/>
      <c r="B27" s="80"/>
      <c r="C27" s="80"/>
      <c r="D27" s="105"/>
      <c r="E27" s="80"/>
      <c r="F27" s="80"/>
      <c r="G27" s="10"/>
      <c r="H27" s="10"/>
      <c r="I27" s="10"/>
      <c r="J27" s="10"/>
      <c r="K27" s="10"/>
      <c r="L27" s="10"/>
      <c r="M27" s="10"/>
      <c r="N27" s="10"/>
      <c r="O27" s="10"/>
      <c r="P27" s="10"/>
      <c r="Q27" s="10"/>
      <c r="R27" s="10"/>
      <c r="S27" s="10"/>
      <c r="T27" s="10"/>
      <c r="U27" s="10"/>
      <c r="V27" s="10"/>
      <c r="W27" s="10"/>
      <c r="X27" s="10"/>
      <c r="Y27" s="10"/>
      <c r="Z27" s="10"/>
      <c r="AA27" s="10"/>
    </row>
    <row r="28" spans="1:27" s="1" customFormat="1">
      <c r="A28" s="10"/>
      <c r="B28" s="80"/>
      <c r="C28" s="80"/>
      <c r="D28" s="105"/>
      <c r="E28" s="80"/>
      <c r="F28" s="80"/>
      <c r="G28" s="10"/>
      <c r="H28" s="10"/>
      <c r="I28" s="10"/>
      <c r="J28" s="10"/>
      <c r="K28" s="10"/>
      <c r="L28" s="10"/>
      <c r="M28" s="10"/>
      <c r="N28" s="10"/>
      <c r="O28" s="10"/>
      <c r="P28" s="10"/>
      <c r="Q28" s="10"/>
      <c r="R28" s="10"/>
      <c r="S28" s="10"/>
      <c r="T28" s="10"/>
      <c r="U28" s="10"/>
      <c r="V28" s="10"/>
      <c r="W28" s="10"/>
      <c r="X28" s="10"/>
      <c r="Y28" s="10"/>
      <c r="Z28" s="10"/>
      <c r="AA28" s="10"/>
    </row>
    <row r="29" spans="1:27" s="1" customFormat="1">
      <c r="A29" s="10"/>
      <c r="B29" s="10"/>
      <c r="C29" s="80"/>
      <c r="D29" s="80"/>
      <c r="E29" s="80"/>
      <c r="F29" s="80"/>
      <c r="G29" s="10"/>
      <c r="H29" s="10"/>
      <c r="I29" s="10"/>
      <c r="J29" s="10"/>
      <c r="K29" s="10"/>
      <c r="L29" s="10"/>
      <c r="M29" s="10"/>
      <c r="N29" s="10"/>
      <c r="O29" s="10"/>
      <c r="P29" s="10"/>
      <c r="Q29" s="10"/>
      <c r="R29" s="10"/>
      <c r="S29" s="10"/>
      <c r="T29" s="10"/>
      <c r="U29" s="10"/>
      <c r="V29" s="10"/>
      <c r="W29" s="10"/>
      <c r="X29" s="10"/>
      <c r="Y29" s="10"/>
      <c r="Z29" s="10"/>
      <c r="AA29" s="10"/>
    </row>
    <row r="30" spans="1:27" s="1" customFormat="1" ht="30">
      <c r="A30" s="10"/>
      <c r="B30" s="10"/>
      <c r="C30" s="11" t="s">
        <v>11</v>
      </c>
      <c r="D30"/>
      <c r="E30"/>
      <c r="F30"/>
      <c r="G30" s="10"/>
      <c r="H30" s="10"/>
      <c r="I30" s="10"/>
      <c r="J30" s="10"/>
      <c r="K30" s="10"/>
      <c r="L30" s="10"/>
      <c r="M30" s="10"/>
      <c r="N30" s="10"/>
      <c r="O30" s="10"/>
      <c r="P30" s="10"/>
      <c r="Q30" s="10"/>
      <c r="R30" s="10"/>
      <c r="S30" s="10"/>
      <c r="T30" s="10"/>
      <c r="U30" s="10"/>
      <c r="V30" s="10"/>
      <c r="W30" s="10"/>
      <c r="X30" s="10"/>
      <c r="Y30" s="10"/>
      <c r="Z30" s="10"/>
      <c r="AA30" s="10"/>
    </row>
    <row r="31" spans="1:27" s="1" customFormat="1">
      <c r="A31" s="10"/>
      <c r="B31" s="10"/>
      <c r="C31"/>
      <c r="D31"/>
      <c r="E31"/>
      <c r="F31"/>
      <c r="G31" s="10"/>
      <c r="H31" s="10"/>
      <c r="I31" s="10"/>
      <c r="J31" s="10"/>
      <c r="K31" s="10"/>
      <c r="L31" s="10"/>
      <c r="M31" s="10"/>
      <c r="N31" s="10"/>
      <c r="O31" s="10"/>
      <c r="P31" s="10"/>
      <c r="Q31" s="10"/>
      <c r="R31" s="10"/>
      <c r="S31" s="10"/>
      <c r="T31" s="10"/>
      <c r="U31" s="10"/>
      <c r="V31" s="10"/>
      <c r="W31" s="10"/>
      <c r="X31" s="10"/>
      <c r="Y31" s="10"/>
      <c r="Z31" s="10"/>
      <c r="AA31" s="10"/>
    </row>
    <row r="32" spans="1:27" s="1" customFormat="1">
      <c r="A32" s="10"/>
      <c r="B32" s="10"/>
      <c r="C32" s="82" t="s">
        <v>72</v>
      </c>
      <c r="D32"/>
      <c r="E32"/>
      <c r="F32"/>
      <c r="G32" s="10"/>
      <c r="H32" s="10"/>
      <c r="I32" s="10"/>
      <c r="J32" s="10"/>
      <c r="K32" s="10"/>
      <c r="L32" s="10"/>
      <c r="M32" s="10"/>
      <c r="N32" s="10"/>
      <c r="O32" s="10"/>
      <c r="P32" s="10"/>
      <c r="Q32" s="10"/>
      <c r="R32" s="10"/>
      <c r="S32" s="10"/>
      <c r="T32" s="10"/>
      <c r="U32" s="10"/>
      <c r="V32" s="10"/>
      <c r="W32" s="10"/>
      <c r="X32" s="10"/>
      <c r="Y32" s="10"/>
      <c r="Z32" s="10"/>
      <c r="AA32" s="10"/>
    </row>
    <row r="33" spans="1:27" s="1" customFormat="1">
      <c r="A33" s="10"/>
      <c r="B33" s="10"/>
      <c r="C33"/>
      <c r="D33"/>
      <c r="E33"/>
      <c r="F33"/>
      <c r="G33" s="10"/>
      <c r="H33" s="10"/>
      <c r="I33" s="10"/>
      <c r="J33" s="10"/>
      <c r="K33" s="10"/>
      <c r="L33" s="10"/>
      <c r="M33" s="10"/>
      <c r="N33" s="10"/>
      <c r="O33" s="10"/>
      <c r="P33" s="10"/>
      <c r="Q33" s="10"/>
      <c r="R33" s="10"/>
      <c r="S33" s="10"/>
      <c r="T33" s="10"/>
      <c r="U33" s="10"/>
      <c r="V33" s="10"/>
      <c r="W33" s="10"/>
      <c r="X33" s="10"/>
      <c r="Y33" s="10"/>
      <c r="Z33" s="10"/>
      <c r="AA33" s="10"/>
    </row>
    <row r="34" spans="1:27" s="1" customFormat="1">
      <c r="A34" s="10"/>
      <c r="B34" s="10"/>
      <c r="C34" t="s">
        <v>73</v>
      </c>
      <c r="D34"/>
      <c r="E34"/>
      <c r="F34"/>
      <c r="G34" s="10"/>
      <c r="H34" s="10"/>
      <c r="I34" s="10"/>
      <c r="J34" s="10"/>
      <c r="K34" s="10"/>
      <c r="L34" s="10"/>
      <c r="M34" s="10"/>
      <c r="N34" s="10"/>
      <c r="O34" s="10"/>
      <c r="P34" s="10"/>
      <c r="Q34" s="10"/>
      <c r="R34" s="10"/>
      <c r="S34" s="10"/>
      <c r="T34" s="10"/>
      <c r="U34" s="10"/>
      <c r="V34" s="10"/>
      <c r="W34" s="10"/>
      <c r="X34" s="10"/>
      <c r="Y34" s="10"/>
      <c r="Z34" s="10"/>
      <c r="AA34" s="10"/>
    </row>
    <row r="35" spans="1:27" s="1" customFormat="1">
      <c r="A35" s="10"/>
      <c r="B35" s="10"/>
      <c r="C35"/>
      <c r="D35"/>
      <c r="E35"/>
      <c r="F35"/>
      <c r="G35" s="10"/>
      <c r="H35" s="10"/>
      <c r="I35" s="10"/>
      <c r="J35" s="10"/>
      <c r="K35" s="10"/>
      <c r="L35" s="10"/>
      <c r="M35" s="10"/>
      <c r="N35" s="10"/>
      <c r="O35" s="10"/>
      <c r="P35" s="10"/>
      <c r="Q35" s="10"/>
      <c r="R35" s="10"/>
      <c r="S35" s="10"/>
      <c r="T35" s="10"/>
      <c r="U35" s="10"/>
      <c r="V35" s="10"/>
      <c r="W35" s="10"/>
      <c r="X35" s="10"/>
      <c r="Y35" s="10"/>
      <c r="Z35" s="10"/>
      <c r="AA35" s="10"/>
    </row>
    <row r="36" spans="1:27" s="1" customFormat="1">
      <c r="A36" s="10"/>
      <c r="B36" s="79" t="s">
        <v>78</v>
      </c>
      <c r="C36" s="79" t="s">
        <v>29</v>
      </c>
      <c r="D36" s="79" t="s">
        <v>0</v>
      </c>
      <c r="E36" s="79" t="s">
        <v>65</v>
      </c>
      <c r="F36" s="79" t="s">
        <v>66</v>
      </c>
      <c r="G36" s="10"/>
      <c r="H36" s="10"/>
      <c r="I36" s="10"/>
      <c r="J36" s="10"/>
      <c r="K36" s="10"/>
      <c r="L36" s="10"/>
      <c r="M36" s="10"/>
      <c r="N36" s="10"/>
      <c r="O36" s="10"/>
      <c r="P36" s="10"/>
      <c r="Q36" s="10"/>
      <c r="R36" s="10"/>
      <c r="S36" s="10"/>
      <c r="T36" s="10"/>
      <c r="U36" s="10"/>
      <c r="V36" s="10"/>
      <c r="W36" s="10"/>
      <c r="X36" s="10"/>
      <c r="Y36" s="10"/>
      <c r="Z36" s="10"/>
      <c r="AA36" s="10"/>
    </row>
    <row r="37" spans="1:27" s="1" customFormat="1">
      <c r="A37" s="10"/>
      <c r="B37" s="83">
        <v>1</v>
      </c>
      <c r="C37" s="61" t="str">
        <f>IF(D37="","",INDEX('Agentic Delivery Scoring Engine'!$A$4:$A$9,MATCH(D37,'Agentic Delivery Scoring Engine'!$B$4:$B$9,0)))</f>
        <v/>
      </c>
      <c r="D37" s="61" t="str">
        <f>IF(COUNT('Agentic Delivery Scoring Engine'!$B$4:$B$9)&gt;=4,SMALL('Agentic Delivery Scoring Engine'!$B$4:$B$9,4),"")</f>
        <v/>
      </c>
      <c r="E37" s="61" t="str">
        <f>IF(C37="","",VLOOKUP(C37,'Domain Recommendation Library'!$B$7:$C$12,2,FALSE))</f>
        <v/>
      </c>
      <c r="F37" s="61" t="str">
        <f>"Medium-Term Priority (3–6 Months)"</f>
        <v>Medium-Term Priority (3–6 Months)</v>
      </c>
      <c r="G37" s="10"/>
      <c r="H37" s="10"/>
      <c r="I37" s="10"/>
      <c r="J37" s="10"/>
      <c r="K37" s="10"/>
      <c r="L37" s="10"/>
      <c r="M37" s="10"/>
      <c r="N37" s="10"/>
      <c r="O37" s="10"/>
      <c r="P37" s="10"/>
      <c r="Q37" s="10"/>
      <c r="R37" s="10"/>
      <c r="S37" s="10"/>
      <c r="T37" s="10"/>
      <c r="U37" s="10"/>
      <c r="V37" s="10"/>
      <c r="W37" s="10"/>
      <c r="X37" s="10"/>
      <c r="Y37" s="10"/>
      <c r="Z37" s="10"/>
      <c r="AA37" s="10"/>
    </row>
    <row r="38" spans="1:27" s="1" customFormat="1">
      <c r="A38" s="10"/>
      <c r="B38" s="83">
        <v>2</v>
      </c>
      <c r="C38" s="61" t="str">
        <f>IF(D38="","",INDEX('Agentic Delivery Scoring Engine'!$A$4:$A$9,MATCH(D38,'Agentic Delivery Scoring Engine'!$B$4:$B$9,0)))</f>
        <v/>
      </c>
      <c r="D38" s="61" t="str">
        <f>IF(COUNT('Agentic Delivery Scoring Engine'!$B$4:$B$9)&gt;=5,SMALL('Agentic Delivery Scoring Engine'!$B$4:$B$9,5),"")</f>
        <v/>
      </c>
      <c r="E38" s="61" t="str">
        <f>IF(C38="","",VLOOKUP(C38,'Domain Recommendation Library'!$B$7:$C$12,2,FALSE))</f>
        <v/>
      </c>
      <c r="F38" s="61" t="str">
        <f t="shared" ref="F38:F39" si="1">"Medium-Term Priority (3–6 Months)"</f>
        <v>Medium-Term Priority (3–6 Months)</v>
      </c>
      <c r="G38" s="10"/>
      <c r="H38" s="10"/>
      <c r="I38" s="10"/>
      <c r="J38" s="10"/>
      <c r="K38" s="10"/>
      <c r="L38" s="10"/>
      <c r="M38" s="10"/>
      <c r="N38" s="10"/>
      <c r="O38" s="10"/>
      <c r="P38" s="10"/>
      <c r="Q38" s="10"/>
      <c r="R38" s="10"/>
      <c r="S38" s="10"/>
      <c r="T38" s="10"/>
      <c r="U38" s="10"/>
      <c r="V38" s="10"/>
      <c r="W38" s="10"/>
      <c r="X38" s="10"/>
      <c r="Y38" s="10"/>
      <c r="Z38" s="10"/>
      <c r="AA38" s="10"/>
    </row>
    <row r="39" spans="1:27" s="1" customFormat="1">
      <c r="A39" s="10"/>
      <c r="B39" s="83">
        <v>3</v>
      </c>
      <c r="C39" s="61" t="str">
        <f>IF(D39="","",INDEX('Agentic Delivery Scoring Engine'!$A$4:$A$9,MATCH(D39,'Agentic Delivery Scoring Engine'!$B$4:$B$9,0)))</f>
        <v/>
      </c>
      <c r="D39" s="61" t="str">
        <f>IF(COUNT('Agentic Delivery Scoring Engine'!$B$4:$B$9)&gt;=6,SMALL('Agentic Delivery Scoring Engine'!$B$4:$B$9,6),"")</f>
        <v/>
      </c>
      <c r="E39" s="61" t="str">
        <f>IF(C39="","",VLOOKUP(C39,'Domain Recommendation Library'!$B$7:$C$12,2,FALSE))</f>
        <v/>
      </c>
      <c r="F39" s="61" t="str">
        <f t="shared" si="1"/>
        <v>Medium-Term Priority (3–6 Months)</v>
      </c>
      <c r="G39" s="10"/>
      <c r="H39" s="10"/>
      <c r="I39" s="10"/>
      <c r="J39" s="10"/>
      <c r="K39" s="10"/>
      <c r="L39" s="10"/>
      <c r="M39" s="10"/>
      <c r="N39" s="10"/>
      <c r="O39" s="10"/>
      <c r="P39" s="10"/>
      <c r="Q39" s="10"/>
      <c r="R39" s="10"/>
      <c r="S39" s="10"/>
      <c r="T39" s="10"/>
      <c r="U39" s="10"/>
      <c r="V39" s="10"/>
      <c r="W39" s="10"/>
      <c r="X39" s="10"/>
      <c r="Y39" s="10"/>
      <c r="Z39" s="10"/>
      <c r="AA39" s="10"/>
    </row>
    <row r="40" spans="1:27" s="1" customFormat="1">
      <c r="A40" s="10"/>
      <c r="B40" s="10"/>
      <c r="C40" s="80"/>
      <c r="D40" s="80"/>
      <c r="E40" s="80"/>
      <c r="F40" s="80"/>
      <c r="G40" s="10"/>
      <c r="H40" s="10"/>
      <c r="I40" s="10"/>
      <c r="J40" s="10"/>
      <c r="K40" s="10"/>
      <c r="L40" s="10"/>
      <c r="M40" s="10"/>
      <c r="N40" s="10"/>
      <c r="O40" s="10"/>
      <c r="P40" s="10"/>
      <c r="Q40" s="10"/>
      <c r="R40" s="10"/>
      <c r="S40" s="10"/>
      <c r="T40" s="10"/>
      <c r="U40" s="10"/>
      <c r="V40" s="10"/>
      <c r="W40" s="10"/>
      <c r="X40" s="10"/>
      <c r="Y40" s="10"/>
      <c r="Z40" s="10"/>
      <c r="AA40" s="10"/>
    </row>
    <row r="41" spans="1:27" s="1" customFormat="1">
      <c r="A41" s="10"/>
      <c r="B41" s="10"/>
      <c r="C41" s="80"/>
      <c r="D41" s="80"/>
      <c r="E41" s="80"/>
      <c r="F41" s="80"/>
      <c r="G41" s="10"/>
      <c r="H41" s="10"/>
      <c r="I41" s="10"/>
      <c r="J41" s="10"/>
      <c r="K41" s="10"/>
      <c r="L41" s="10"/>
      <c r="M41" s="10"/>
      <c r="N41" s="10"/>
      <c r="O41" s="10"/>
      <c r="P41" s="10"/>
      <c r="Q41" s="10"/>
      <c r="R41" s="10"/>
      <c r="S41" s="10"/>
      <c r="T41" s="10"/>
      <c r="U41" s="10"/>
      <c r="V41" s="10"/>
      <c r="W41" s="10"/>
      <c r="X41" s="10"/>
      <c r="Y41" s="10"/>
      <c r="Z41" s="10"/>
      <c r="AA41" s="10"/>
    </row>
    <row r="42" spans="1:27">
      <c r="A42" s="2"/>
      <c r="B42" s="10"/>
      <c r="C42" s="2"/>
      <c r="D42" s="2"/>
      <c r="E42" s="2"/>
      <c r="F42" s="2"/>
      <c r="G42" s="2"/>
      <c r="H42" s="2"/>
      <c r="I42" s="2"/>
      <c r="J42" s="2"/>
      <c r="K42" s="2"/>
      <c r="L42" s="2"/>
      <c r="M42" s="2"/>
      <c r="N42" s="2"/>
      <c r="O42" s="2"/>
      <c r="P42" s="2"/>
      <c r="Q42" s="2"/>
      <c r="R42" s="2"/>
      <c r="S42" s="2"/>
      <c r="T42" s="2"/>
      <c r="U42" s="2"/>
      <c r="V42" s="2"/>
      <c r="W42" s="2"/>
      <c r="X42" s="2"/>
      <c r="Y42" s="2"/>
      <c r="Z42" s="2"/>
      <c r="AA42" s="2"/>
    </row>
    <row r="43" spans="1:27">
      <c r="A43" s="2"/>
      <c r="B43" s="10"/>
      <c r="C43" s="2"/>
      <c r="D43" s="2"/>
      <c r="E43" s="2"/>
      <c r="F43" s="2"/>
      <c r="G43" s="2"/>
      <c r="H43" s="2"/>
      <c r="I43" s="2"/>
      <c r="J43" s="2"/>
      <c r="K43" s="2"/>
      <c r="L43" s="2"/>
      <c r="M43" s="2"/>
      <c r="N43" s="2"/>
      <c r="O43" s="2"/>
      <c r="P43" s="2"/>
      <c r="Q43" s="2"/>
      <c r="R43" s="2"/>
      <c r="S43" s="2"/>
      <c r="T43" s="2"/>
      <c r="U43" s="2"/>
      <c r="V43" s="2"/>
      <c r="W43" s="2"/>
      <c r="X43" s="2"/>
      <c r="Y43" s="2"/>
      <c r="Z43" s="2"/>
      <c r="AA43" s="2"/>
    </row>
    <row r="44" spans="1:27">
      <c r="A44" s="2"/>
      <c r="B44" s="10"/>
      <c r="C44" s="2"/>
      <c r="D44" s="2"/>
      <c r="E44" s="2"/>
      <c r="F44" s="2"/>
      <c r="G44" s="2"/>
      <c r="H44" s="2"/>
      <c r="I44" s="2"/>
      <c r="J44" s="2"/>
      <c r="K44" s="2"/>
      <c r="L44" s="2"/>
      <c r="M44" s="2"/>
      <c r="N44" s="2"/>
      <c r="O44" s="2"/>
      <c r="P44" s="2"/>
      <c r="Q44" s="2"/>
      <c r="R44" s="2"/>
      <c r="S44" s="2"/>
      <c r="T44" s="2"/>
      <c r="U44" s="2"/>
      <c r="V44" s="2"/>
      <c r="W44" s="2"/>
      <c r="X44" s="2"/>
      <c r="Y44" s="2"/>
      <c r="Z44" s="2"/>
      <c r="AA44" s="2"/>
    </row>
    <row r="45" spans="1:27" ht="30">
      <c r="A45" s="2"/>
      <c r="B45" s="10"/>
      <c r="C45" s="11" t="s">
        <v>69</v>
      </c>
      <c r="G45" s="2"/>
      <c r="H45" s="2"/>
      <c r="I45" s="2"/>
      <c r="J45" s="2"/>
      <c r="K45" s="2"/>
      <c r="L45" s="2"/>
      <c r="M45" s="2"/>
      <c r="N45" s="2"/>
      <c r="O45" s="2"/>
      <c r="P45" s="2"/>
      <c r="Q45" s="2"/>
      <c r="R45" s="2"/>
      <c r="S45" s="2"/>
      <c r="T45" s="2"/>
      <c r="U45" s="2"/>
      <c r="V45" s="2"/>
      <c r="W45" s="2"/>
      <c r="X45" s="2"/>
      <c r="Y45" s="2"/>
      <c r="Z45" s="2"/>
      <c r="AA45" s="2"/>
    </row>
    <row r="46" spans="1:27">
      <c r="A46" s="2"/>
      <c r="B46" s="10"/>
      <c r="G46" s="2"/>
      <c r="H46" s="2"/>
      <c r="I46" s="2"/>
      <c r="J46" s="2"/>
      <c r="K46" s="2"/>
      <c r="L46" s="2"/>
      <c r="M46" s="2"/>
      <c r="N46" s="2"/>
      <c r="O46" s="2"/>
      <c r="P46" s="2"/>
      <c r="Q46" s="2"/>
      <c r="R46" s="2"/>
      <c r="S46" s="2"/>
      <c r="T46" s="2"/>
      <c r="U46" s="2"/>
      <c r="V46" s="2"/>
      <c r="W46" s="2"/>
      <c r="X46" s="2"/>
      <c r="Y46" s="2"/>
      <c r="Z46" s="2"/>
      <c r="AA46" s="2"/>
    </row>
    <row r="47" spans="1:27">
      <c r="A47" s="2"/>
      <c r="B47" s="10"/>
      <c r="C47" s="82" t="s">
        <v>70</v>
      </c>
      <c r="G47" s="2"/>
      <c r="H47" s="2"/>
      <c r="I47" s="2"/>
      <c r="J47" s="2"/>
      <c r="K47" s="2"/>
      <c r="L47" s="2"/>
      <c r="M47" s="2"/>
      <c r="N47" s="2"/>
      <c r="O47" s="2"/>
      <c r="P47" s="2"/>
      <c r="Q47" s="2"/>
      <c r="R47" s="2"/>
      <c r="S47" s="2"/>
      <c r="T47" s="2"/>
      <c r="U47" s="2"/>
      <c r="V47" s="2"/>
      <c r="W47" s="2"/>
      <c r="X47" s="2"/>
      <c r="Y47" s="2"/>
      <c r="Z47" s="2"/>
      <c r="AA47" s="2"/>
    </row>
    <row r="48" spans="1:27">
      <c r="A48" s="2"/>
      <c r="B48" s="10"/>
      <c r="G48" s="2"/>
      <c r="H48" s="2"/>
      <c r="I48" s="2"/>
      <c r="J48" s="2"/>
      <c r="K48" s="2"/>
      <c r="L48" s="2"/>
      <c r="M48" s="2"/>
      <c r="N48" s="2"/>
      <c r="O48" s="2"/>
      <c r="P48" s="2"/>
      <c r="Q48" s="2"/>
      <c r="R48" s="2"/>
      <c r="S48" s="2"/>
      <c r="T48" s="2"/>
      <c r="U48" s="2"/>
      <c r="V48" s="2"/>
      <c r="W48" s="2"/>
      <c r="X48" s="2"/>
      <c r="Y48" s="2"/>
      <c r="Z48" s="2"/>
      <c r="AA48" s="2"/>
    </row>
    <row r="49" spans="1:27">
      <c r="A49" s="2"/>
      <c r="B49" s="10"/>
      <c r="C49" t="s">
        <v>71</v>
      </c>
      <c r="G49" s="2"/>
      <c r="H49" s="2"/>
      <c r="I49" s="2"/>
      <c r="J49" s="2"/>
      <c r="K49" s="2"/>
      <c r="L49" s="2"/>
      <c r="M49" s="2"/>
      <c r="N49" s="2"/>
      <c r="O49" s="2"/>
      <c r="P49" s="2"/>
      <c r="Q49" s="2"/>
      <c r="R49" s="2"/>
      <c r="S49" s="2"/>
      <c r="T49" s="2"/>
      <c r="U49" s="2"/>
      <c r="V49" s="2"/>
      <c r="W49" s="2"/>
      <c r="X49" s="2"/>
      <c r="Y49" s="2"/>
      <c r="Z49" s="2"/>
      <c r="AA49" s="2"/>
    </row>
    <row r="50" spans="1:27">
      <c r="A50" s="2"/>
      <c r="B50" s="10"/>
      <c r="G50" s="2"/>
      <c r="H50" s="2"/>
      <c r="I50" s="2"/>
      <c r="J50" s="2"/>
      <c r="K50" s="2"/>
      <c r="L50" s="2"/>
      <c r="M50" s="2"/>
      <c r="N50" s="2"/>
      <c r="O50" s="2"/>
      <c r="P50" s="2"/>
      <c r="Q50" s="2"/>
      <c r="R50" s="2"/>
      <c r="S50" s="2"/>
      <c r="T50" s="2"/>
      <c r="U50" s="2"/>
      <c r="V50" s="2"/>
      <c r="W50" s="2"/>
      <c r="X50" s="2"/>
      <c r="Y50" s="2"/>
      <c r="Z50" s="2"/>
      <c r="AA50" s="2"/>
    </row>
    <row r="51" spans="1:27">
      <c r="A51" s="2"/>
      <c r="B51" s="79" t="s">
        <v>78</v>
      </c>
      <c r="C51" s="79" t="s">
        <v>29</v>
      </c>
      <c r="D51" s="79" t="s">
        <v>0</v>
      </c>
      <c r="E51" s="79" t="s">
        <v>65</v>
      </c>
      <c r="F51" s="79" t="s">
        <v>66</v>
      </c>
      <c r="G51" s="2"/>
      <c r="H51" s="2"/>
      <c r="I51" s="2"/>
      <c r="J51" s="2"/>
      <c r="K51" s="2"/>
      <c r="L51" s="2"/>
      <c r="M51" s="2"/>
      <c r="N51" s="2"/>
      <c r="O51" s="2"/>
      <c r="P51" s="2"/>
      <c r="Q51" s="2"/>
      <c r="R51" s="2"/>
      <c r="S51" s="2"/>
      <c r="T51" s="2"/>
      <c r="U51" s="2"/>
      <c r="V51" s="2"/>
      <c r="W51" s="2"/>
      <c r="X51" s="2"/>
      <c r="Y51" s="2"/>
      <c r="Z51" s="2"/>
      <c r="AA51" s="2"/>
    </row>
    <row r="52" spans="1:27">
      <c r="A52" s="2"/>
      <c r="B52" s="83">
        <v>1</v>
      </c>
      <c r="C52" s="61" t="str">
        <f>IF(D52="","",INDEX('Agentic Delivery Scoring Engine'!$A$4:$A$9,MATCH(D52,'Agentic Delivery Scoring Engine'!$B$4:$B$9,0)))</f>
        <v/>
      </c>
      <c r="D52" s="61" t="str" cm="1">
        <f t="array" ref="D52">IFERROR(_xlfn.AGGREGATE(14,6,'Agentic Delivery Scoring Engine'!$B$4:$B$9/('Agentic Delivery Scoring Engine'!$B$4:$B$9&gt;=4),1),"")</f>
        <v/>
      </c>
      <c r="E52" s="61" t="str">
        <f>IF(C52="","",VLOOKUP(C52,'Domain Recommendation Library'!$B$7:$C$12,2,FALSE))</f>
        <v/>
      </c>
      <c r="F52" s="61" t="str">
        <f>"Strategic Optimisation (6–12 Months)"</f>
        <v>Strategic Optimisation (6–12 Months)</v>
      </c>
      <c r="G52" s="2"/>
      <c r="H52" s="2"/>
      <c r="I52" s="2"/>
      <c r="J52" s="2"/>
      <c r="K52" s="2"/>
      <c r="L52" s="2"/>
      <c r="M52" s="2"/>
      <c r="N52" s="2"/>
      <c r="O52" s="2"/>
      <c r="P52" s="2"/>
      <c r="Q52" s="2"/>
      <c r="R52" s="2"/>
      <c r="S52" s="2"/>
      <c r="T52" s="2"/>
      <c r="U52" s="2"/>
      <c r="V52" s="2"/>
      <c r="W52" s="2"/>
      <c r="X52" s="2"/>
      <c r="Y52" s="2"/>
      <c r="Z52" s="2"/>
      <c r="AA52" s="2"/>
    </row>
    <row r="53" spans="1:27">
      <c r="A53" s="2"/>
      <c r="B53" s="83">
        <v>2</v>
      </c>
      <c r="C53" s="61" t="str">
        <f>IF(D53="","",INDEX('Agentic Delivery Scoring Engine'!$A$4:$A$9,MATCH(D53,'Agentic Delivery Scoring Engine'!$B$4:$B$9,0)))</f>
        <v/>
      </c>
      <c r="D53" s="61" t="str" cm="1">
        <f t="array" ref="D53">IFERROR(_xlfn.AGGREGATE(14,6,'Agentic Delivery Scoring Engine'!$B$4:$B$9/('Agentic Delivery Scoring Engine'!$B$4:$B$9&gt;=4),2),"")</f>
        <v/>
      </c>
      <c r="E53" s="61" t="str">
        <f>IF(C53="","",VLOOKUP(C53,'Domain Recommendation Library'!$B$7:$C$12,2,FALSE))</f>
        <v/>
      </c>
      <c r="F53" s="61" t="str">
        <f t="shared" ref="F53:F54" si="2">"Strategic Optimisation (6–12 Months)"</f>
        <v>Strategic Optimisation (6–12 Months)</v>
      </c>
      <c r="G53" s="2"/>
      <c r="H53" s="2"/>
      <c r="I53" s="2"/>
      <c r="J53" s="2"/>
      <c r="K53" s="2"/>
      <c r="L53" s="2"/>
      <c r="M53" s="2"/>
      <c r="N53" s="2"/>
      <c r="O53" s="2"/>
      <c r="P53" s="2"/>
      <c r="Q53" s="2"/>
      <c r="R53" s="2"/>
      <c r="S53" s="2"/>
      <c r="T53" s="2"/>
      <c r="U53" s="2"/>
      <c r="V53" s="2"/>
      <c r="W53" s="2"/>
      <c r="X53" s="2"/>
      <c r="Y53" s="2"/>
      <c r="Z53" s="2"/>
      <c r="AA53" s="2"/>
    </row>
    <row r="54" spans="1:27">
      <c r="A54" s="2"/>
      <c r="B54" s="83">
        <v>3</v>
      </c>
      <c r="C54" s="61" t="str">
        <f>IF(D54="","",INDEX('Agentic Delivery Scoring Engine'!$A$4:$A$9,MATCH(D54,'Agentic Delivery Scoring Engine'!$B$4:$B$9,0)))</f>
        <v/>
      </c>
      <c r="D54" s="61" t="str" cm="1">
        <f t="array" ref="D54">IFERROR(_xlfn.AGGREGATE(14,6,'Agentic Delivery Scoring Engine'!$B$4:$B$9/('Agentic Delivery Scoring Engine'!$B$4:$B$9&gt;=4),3),"")</f>
        <v/>
      </c>
      <c r="E54" s="61" t="str">
        <f>IF(C54="","",VLOOKUP(C54,'Domain Recommendation Library'!$B$7:$C$12,2,FALSE))</f>
        <v/>
      </c>
      <c r="F54" s="61" t="str">
        <f t="shared" si="2"/>
        <v>Strategic Optimisation (6–12 Months)</v>
      </c>
      <c r="G54" s="2"/>
      <c r="H54" s="2"/>
      <c r="I54" s="2"/>
      <c r="J54" s="2"/>
      <c r="K54" s="2"/>
      <c r="L54" s="2"/>
      <c r="M54" s="2"/>
      <c r="N54" s="2"/>
      <c r="O54" s="2"/>
      <c r="P54" s="2"/>
      <c r="Q54" s="2"/>
      <c r="R54" s="2"/>
      <c r="S54" s="2"/>
      <c r="T54" s="2"/>
      <c r="U54" s="2"/>
      <c r="V54" s="2"/>
      <c r="W54" s="2"/>
      <c r="X54" s="2"/>
      <c r="Y54" s="2"/>
      <c r="Z54" s="2"/>
      <c r="AA54" s="2"/>
    </row>
    <row r="55" spans="1:27">
      <c r="A55" s="2"/>
      <c r="B55" s="10"/>
      <c r="C55" s="2"/>
      <c r="D55" s="2"/>
      <c r="E55" s="2"/>
      <c r="F55" s="2"/>
      <c r="G55" s="2"/>
      <c r="H55" s="2"/>
      <c r="I55" s="2"/>
      <c r="J55" s="2"/>
      <c r="K55" s="2"/>
      <c r="L55" s="2"/>
      <c r="M55" s="2"/>
      <c r="N55" s="2"/>
      <c r="O55" s="2"/>
      <c r="P55" s="2"/>
      <c r="Q55" s="2"/>
      <c r="R55" s="2"/>
      <c r="S55" s="2"/>
      <c r="T55" s="2"/>
      <c r="U55" s="2"/>
      <c r="V55" s="2"/>
      <c r="W55" s="2"/>
      <c r="X55" s="2"/>
      <c r="Y55" s="2"/>
      <c r="Z55" s="2"/>
      <c r="AA55" s="2"/>
    </row>
    <row r="56" spans="1:27">
      <c r="A56" s="2"/>
      <c r="B56" s="10"/>
      <c r="C56" s="2"/>
      <c r="D56" s="2"/>
      <c r="E56" s="2"/>
      <c r="F56" s="2"/>
      <c r="G56" s="2"/>
      <c r="H56" s="2"/>
      <c r="I56" s="2"/>
      <c r="J56" s="2"/>
      <c r="K56" s="2"/>
      <c r="L56" s="2"/>
      <c r="M56" s="2"/>
      <c r="N56" s="2"/>
      <c r="O56" s="2"/>
      <c r="P56" s="2"/>
      <c r="Q56" s="2"/>
      <c r="R56" s="2"/>
      <c r="S56" s="2"/>
      <c r="T56" s="2"/>
      <c r="U56" s="2"/>
      <c r="V56" s="2"/>
      <c r="W56" s="2"/>
      <c r="X56" s="2"/>
      <c r="Y56" s="2"/>
      <c r="Z56" s="2"/>
      <c r="AA56" s="2"/>
    </row>
    <row r="57" spans="1:27" hidden="1">
      <c r="A57" s="2"/>
      <c r="B57" s="10"/>
      <c r="C57" s="2"/>
      <c r="D57" s="2"/>
      <c r="E57" s="2"/>
      <c r="F57" s="2"/>
      <c r="G57" s="2"/>
      <c r="H57" s="2"/>
      <c r="I57" s="2"/>
      <c r="J57" s="2"/>
      <c r="K57" s="2"/>
      <c r="L57" s="2"/>
      <c r="M57" s="2"/>
      <c r="N57" s="2"/>
      <c r="O57" s="2"/>
      <c r="P57" s="2"/>
      <c r="Q57" s="2"/>
      <c r="R57" s="2"/>
      <c r="S57" s="2"/>
      <c r="T57" s="2"/>
      <c r="U57" s="2"/>
      <c r="V57" s="2"/>
      <c r="W57" s="2"/>
      <c r="X57" s="2"/>
      <c r="Y57" s="2"/>
      <c r="Z57" s="2"/>
      <c r="AA57" s="2"/>
    </row>
    <row r="58" spans="1:27" hidden="1">
      <c r="A58" s="2"/>
      <c r="B58" s="10"/>
      <c r="C58" s="2"/>
      <c r="D58" s="2"/>
      <c r="E58" s="2"/>
      <c r="F58" s="2"/>
      <c r="G58" s="2"/>
      <c r="H58" s="2"/>
      <c r="I58" s="2"/>
      <c r="J58" s="2"/>
      <c r="K58" s="2"/>
      <c r="L58" s="2"/>
      <c r="M58" s="2"/>
      <c r="N58" s="2"/>
      <c r="O58" s="2"/>
      <c r="P58" s="2"/>
      <c r="Q58" s="2"/>
      <c r="R58" s="2"/>
      <c r="S58" s="2"/>
      <c r="T58" s="2"/>
      <c r="U58" s="2"/>
      <c r="V58" s="2"/>
      <c r="W58" s="2"/>
      <c r="X58" s="2"/>
      <c r="Y58" s="2"/>
      <c r="Z58" s="2"/>
      <c r="AA58" s="2"/>
    </row>
    <row r="59" spans="1:27" hidden="1">
      <c r="A59" s="2"/>
      <c r="B59" s="10"/>
      <c r="C59" s="2"/>
      <c r="D59" s="2"/>
      <c r="E59" s="2"/>
      <c r="F59" s="2"/>
      <c r="G59" s="2"/>
      <c r="H59" s="2"/>
      <c r="I59" s="2"/>
      <c r="J59" s="2"/>
      <c r="K59" s="2"/>
      <c r="L59" s="2"/>
      <c r="M59" s="2"/>
      <c r="N59" s="2"/>
      <c r="O59" s="2"/>
      <c r="P59" s="2"/>
      <c r="Q59" s="2"/>
      <c r="R59" s="2"/>
      <c r="S59" s="2"/>
      <c r="T59" s="2"/>
      <c r="U59" s="2"/>
      <c r="V59" s="2"/>
      <c r="W59" s="2"/>
      <c r="X59" s="2"/>
      <c r="Y59" s="2"/>
      <c r="Z59" s="2"/>
      <c r="AA59" s="2"/>
    </row>
    <row r="60" spans="1:27" hidden="1">
      <c r="A60" s="2"/>
      <c r="B60" s="10"/>
      <c r="C60" s="2"/>
      <c r="D60" s="2"/>
      <c r="E60" s="2"/>
      <c r="F60" s="2"/>
      <c r="G60" s="2"/>
      <c r="H60" s="2"/>
      <c r="I60" s="2"/>
      <c r="J60" s="2"/>
      <c r="K60" s="2"/>
      <c r="L60" s="2"/>
      <c r="M60" s="2"/>
      <c r="N60" s="2"/>
      <c r="O60" s="2"/>
      <c r="P60" s="2"/>
      <c r="Q60" s="2"/>
      <c r="R60" s="2"/>
      <c r="S60" s="2"/>
      <c r="T60" s="2"/>
      <c r="U60" s="2"/>
      <c r="V60" s="2"/>
      <c r="W60" s="2"/>
      <c r="X60" s="2"/>
      <c r="Y60" s="2"/>
      <c r="Z60" s="2"/>
      <c r="AA60" s="2"/>
    </row>
    <row r="61" spans="1:27" hidden="1">
      <c r="A61" s="2"/>
      <c r="B61" s="10"/>
      <c r="C61" s="2"/>
      <c r="D61" s="2"/>
      <c r="E61" s="2"/>
      <c r="F61" s="2"/>
      <c r="G61" s="2"/>
      <c r="H61" s="2"/>
      <c r="I61" s="2"/>
      <c r="J61" s="2"/>
      <c r="K61" s="2"/>
      <c r="L61" s="2"/>
      <c r="M61" s="2"/>
      <c r="N61" s="2"/>
      <c r="O61" s="2"/>
      <c r="P61" s="2"/>
      <c r="Q61" s="2"/>
      <c r="R61" s="2"/>
      <c r="S61" s="2"/>
      <c r="T61" s="2"/>
      <c r="U61" s="2"/>
      <c r="V61" s="2"/>
      <c r="W61" s="2"/>
      <c r="X61" s="2"/>
      <c r="Y61" s="2"/>
      <c r="Z61" s="2"/>
      <c r="AA61" s="2"/>
    </row>
    <row r="62" spans="1:27" hidden="1">
      <c r="A62" s="2"/>
      <c r="B62" s="10"/>
      <c r="C62" s="2"/>
      <c r="D62" s="2"/>
      <c r="E62" s="2"/>
      <c r="F62" s="2"/>
      <c r="G62" s="2"/>
      <c r="H62" s="2"/>
      <c r="I62" s="2"/>
      <c r="J62" s="2"/>
      <c r="K62" s="2"/>
      <c r="L62" s="2"/>
      <c r="M62" s="2"/>
      <c r="N62" s="2"/>
      <c r="O62" s="2"/>
      <c r="P62" s="2"/>
      <c r="Q62" s="2"/>
      <c r="R62" s="2"/>
      <c r="S62" s="2"/>
      <c r="T62" s="2"/>
      <c r="U62" s="2"/>
      <c r="V62" s="2"/>
      <c r="W62" s="2"/>
      <c r="X62" s="2"/>
      <c r="Y62" s="2"/>
      <c r="Z62" s="2"/>
      <c r="AA62" s="2"/>
    </row>
    <row r="63" spans="1:27" hidden="1">
      <c r="A63" s="2"/>
      <c r="B63" s="10"/>
      <c r="C63" s="2"/>
      <c r="D63" s="2"/>
      <c r="E63" s="2"/>
      <c r="F63" s="2"/>
      <c r="G63" s="2"/>
      <c r="H63" s="2"/>
      <c r="I63" s="2"/>
      <c r="J63" s="2"/>
      <c r="K63" s="2"/>
      <c r="L63" s="2"/>
      <c r="M63" s="2"/>
      <c r="N63" s="2"/>
      <c r="O63" s="2"/>
      <c r="P63" s="2"/>
      <c r="Q63" s="2"/>
      <c r="R63" s="2"/>
      <c r="S63" s="2"/>
      <c r="T63" s="2"/>
      <c r="U63" s="2"/>
      <c r="V63" s="2"/>
      <c r="W63" s="2"/>
      <c r="X63" s="2"/>
      <c r="Y63" s="2"/>
      <c r="Z63" s="2"/>
      <c r="AA63" s="2"/>
    </row>
    <row r="64" spans="1:27" hidden="1">
      <c r="A64" s="2"/>
      <c r="B64" s="10"/>
      <c r="C64" s="2"/>
      <c r="D64" s="2"/>
      <c r="E64" s="2"/>
      <c r="F64" s="2"/>
      <c r="G64" s="2"/>
      <c r="H64" s="2"/>
      <c r="I64" s="2"/>
      <c r="J64" s="2"/>
      <c r="K64" s="2"/>
      <c r="L64" s="2"/>
      <c r="M64" s="2"/>
      <c r="N64" s="2"/>
      <c r="O64" s="2"/>
      <c r="P64" s="2"/>
      <c r="Q64" s="2"/>
      <c r="R64" s="2"/>
      <c r="S64" s="2"/>
      <c r="T64" s="2"/>
      <c r="U64" s="2"/>
      <c r="V64" s="2"/>
      <c r="W64" s="2"/>
      <c r="X64" s="2"/>
      <c r="Y64" s="2"/>
      <c r="Z64" s="2"/>
      <c r="AA64" s="2"/>
    </row>
    <row r="65" spans="1:27" hidden="1">
      <c r="A65" s="2"/>
      <c r="B65" s="10"/>
      <c r="C65" s="2"/>
      <c r="D65" s="2"/>
      <c r="E65" s="2"/>
      <c r="F65" s="2"/>
      <c r="G65" s="2"/>
      <c r="H65" s="2"/>
      <c r="I65" s="2"/>
      <c r="J65" s="2"/>
      <c r="K65" s="2"/>
      <c r="L65" s="2"/>
      <c r="M65" s="2"/>
      <c r="N65" s="2"/>
      <c r="O65" s="2"/>
      <c r="P65" s="2"/>
      <c r="Q65" s="2"/>
      <c r="R65" s="2"/>
      <c r="S65" s="2"/>
      <c r="T65" s="2"/>
      <c r="U65" s="2"/>
      <c r="V65" s="2"/>
      <c r="W65" s="2"/>
      <c r="X65" s="2"/>
      <c r="Y65" s="2"/>
      <c r="Z65" s="2"/>
      <c r="AA65" s="2"/>
    </row>
    <row r="66" spans="1:27" hidden="1">
      <c r="A66" s="2"/>
      <c r="B66" s="10"/>
      <c r="C66" s="2"/>
      <c r="D66" s="2"/>
      <c r="E66" s="2"/>
      <c r="F66" s="2"/>
      <c r="G66" s="2"/>
      <c r="H66" s="2"/>
      <c r="I66" s="2"/>
      <c r="J66" s="2"/>
      <c r="K66" s="2"/>
      <c r="L66" s="2"/>
      <c r="M66" s="2"/>
      <c r="N66" s="2"/>
      <c r="O66" s="2"/>
      <c r="P66" s="2"/>
      <c r="Q66" s="2"/>
      <c r="R66" s="2"/>
      <c r="S66" s="2"/>
      <c r="T66" s="2"/>
      <c r="U66" s="2"/>
      <c r="V66" s="2"/>
      <c r="W66" s="2"/>
      <c r="X66" s="2"/>
      <c r="Y66" s="2"/>
      <c r="Z66" s="2"/>
      <c r="AA66" s="2"/>
    </row>
    <row r="67" spans="1:27" hidden="1">
      <c r="A67" s="2"/>
      <c r="B67" s="10"/>
      <c r="C67" s="2"/>
      <c r="D67" s="2"/>
      <c r="E67" s="2"/>
      <c r="F67" s="2"/>
      <c r="G67" s="2"/>
      <c r="H67" s="2"/>
      <c r="I67" s="2"/>
      <c r="J67" s="2"/>
      <c r="K67" s="2"/>
      <c r="L67" s="2"/>
      <c r="M67" s="2"/>
      <c r="N67" s="2"/>
      <c r="O67" s="2"/>
      <c r="P67" s="2"/>
      <c r="Q67" s="2"/>
      <c r="R67" s="2"/>
      <c r="S67" s="2"/>
      <c r="T67" s="2"/>
      <c r="U67" s="2"/>
      <c r="V67" s="2"/>
      <c r="W67" s="2"/>
      <c r="X67" s="2"/>
      <c r="Y67" s="2"/>
      <c r="Z67" s="2"/>
      <c r="AA67" s="2"/>
    </row>
    <row r="68" spans="1:27" hidden="1">
      <c r="A68" s="2"/>
      <c r="B68" s="10"/>
      <c r="C68" s="2"/>
      <c r="D68" s="2"/>
      <c r="E68" s="2"/>
      <c r="F68" s="2"/>
      <c r="G68" s="2"/>
      <c r="H68" s="2"/>
      <c r="I68" s="2"/>
      <c r="J68" s="2"/>
      <c r="K68" s="2"/>
      <c r="L68" s="2"/>
      <c r="M68" s="2"/>
      <c r="N68" s="2"/>
      <c r="O68" s="2"/>
      <c r="P68" s="2"/>
      <c r="Q68" s="2"/>
      <c r="R68" s="2"/>
      <c r="S68" s="2"/>
      <c r="T68" s="2"/>
      <c r="U68" s="2"/>
      <c r="V68" s="2"/>
      <c r="W68" s="2"/>
      <c r="X68" s="2"/>
      <c r="Y68" s="2"/>
      <c r="Z68" s="2"/>
      <c r="AA68" s="2"/>
    </row>
    <row r="69" spans="1:27" hidden="1">
      <c r="A69" s="2"/>
      <c r="B69" s="10"/>
      <c r="C69" s="2"/>
      <c r="D69" s="2"/>
      <c r="E69" s="2"/>
      <c r="F69" s="2"/>
      <c r="G69" s="2"/>
      <c r="H69" s="2"/>
      <c r="I69" s="2"/>
      <c r="J69" s="2"/>
      <c r="K69" s="2"/>
      <c r="L69" s="2"/>
      <c r="M69" s="2"/>
      <c r="N69" s="2"/>
      <c r="O69" s="2"/>
      <c r="P69" s="2"/>
      <c r="Q69" s="2"/>
      <c r="R69" s="2"/>
      <c r="S69" s="2"/>
      <c r="T69" s="2"/>
      <c r="U69" s="2"/>
      <c r="V69" s="2"/>
      <c r="W69" s="2"/>
      <c r="X69" s="2"/>
      <c r="Y69" s="2"/>
      <c r="Z69" s="2"/>
      <c r="AA69" s="2"/>
    </row>
    <row r="70" spans="1:27" hidden="1">
      <c r="A70" s="2"/>
      <c r="B70" s="10"/>
      <c r="C70" s="2"/>
      <c r="D70" s="2"/>
      <c r="E70" s="2"/>
      <c r="F70" s="2"/>
      <c r="G70" s="2"/>
      <c r="H70" s="2"/>
      <c r="I70" s="2"/>
      <c r="J70" s="2"/>
      <c r="K70" s="2"/>
      <c r="L70" s="2"/>
      <c r="M70" s="2"/>
      <c r="N70" s="2"/>
      <c r="O70" s="2"/>
      <c r="P70" s="2"/>
      <c r="Q70" s="2"/>
      <c r="R70" s="2"/>
      <c r="S70" s="2"/>
      <c r="T70" s="2"/>
      <c r="U70" s="2"/>
      <c r="V70" s="2"/>
      <c r="W70" s="2"/>
      <c r="X70" s="2"/>
      <c r="Y70" s="2"/>
      <c r="Z70" s="2"/>
      <c r="AA70" s="2"/>
    </row>
    <row r="71" spans="1:27" hidden="1">
      <c r="A71" s="2"/>
      <c r="B71" s="10"/>
      <c r="C71" s="2"/>
      <c r="D71" s="2"/>
      <c r="E71" s="2"/>
      <c r="F71" s="2"/>
      <c r="G71" s="2"/>
      <c r="H71" s="2"/>
      <c r="I71" s="2"/>
      <c r="J71" s="2"/>
      <c r="K71" s="2"/>
      <c r="L71" s="2"/>
      <c r="M71" s="2"/>
      <c r="N71" s="2"/>
      <c r="O71" s="2"/>
      <c r="P71" s="2"/>
      <c r="Q71" s="2"/>
      <c r="R71" s="2"/>
      <c r="S71" s="2"/>
      <c r="T71" s="2"/>
      <c r="U71" s="2"/>
      <c r="V71" s="2"/>
      <c r="W71" s="2"/>
      <c r="X71" s="2"/>
      <c r="Y71" s="2"/>
      <c r="Z71" s="2"/>
      <c r="AA71" s="2"/>
    </row>
    <row r="72" spans="1:27" hidden="1">
      <c r="A72" s="2"/>
      <c r="B72" s="10"/>
      <c r="C72" s="2"/>
      <c r="D72" s="2"/>
      <c r="E72" s="2"/>
      <c r="F72" s="2"/>
      <c r="G72" s="2"/>
      <c r="H72" s="2"/>
      <c r="I72" s="2"/>
      <c r="J72" s="2"/>
      <c r="K72" s="2"/>
      <c r="L72" s="2"/>
      <c r="M72" s="2"/>
      <c r="N72" s="2"/>
      <c r="O72" s="2"/>
      <c r="P72" s="2"/>
      <c r="Q72" s="2"/>
      <c r="R72" s="2"/>
      <c r="S72" s="2"/>
      <c r="T72" s="2"/>
      <c r="U72" s="2"/>
      <c r="V72" s="2"/>
      <c r="W72" s="2"/>
      <c r="X72" s="2"/>
      <c r="Y72" s="2"/>
      <c r="Z72" s="2"/>
      <c r="AA72" s="2"/>
    </row>
  </sheetData>
  <mergeCells count="2">
    <mergeCell ref="A1:G1"/>
    <mergeCell ref="C12:F1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9"/>
  <sheetViews>
    <sheetView showGridLines="0" tabSelected="1" zoomScale="81" workbookViewId="0">
      <selection activeCell="A20" sqref="A20"/>
    </sheetView>
  </sheetViews>
  <sheetFormatPr defaultColWidth="0" defaultRowHeight="14"/>
  <cols>
    <col min="1" max="1" width="25" customWidth="1"/>
    <col min="2" max="2" width="30.58203125" customWidth="1"/>
    <col min="3" max="3" width="55" customWidth="1"/>
    <col min="4" max="4" width="18" customWidth="1"/>
    <col min="5" max="5" width="40" customWidth="1"/>
    <col min="6" max="6" width="25" customWidth="1"/>
    <col min="7" max="8" width="14" customWidth="1"/>
    <col min="9" max="9" width="8.6640625" customWidth="1"/>
    <col min="10" max="26" width="0" hidden="1" customWidth="1"/>
    <col min="27" max="16384" width="8.6640625" hidden="1"/>
  </cols>
  <sheetData>
    <row r="1" spans="1:26" ht="20">
      <c r="A1" s="121" t="s">
        <v>129</v>
      </c>
      <c r="B1" s="123"/>
      <c r="C1" s="123"/>
      <c r="D1" s="123"/>
      <c r="E1" s="123"/>
      <c r="F1" s="123"/>
      <c r="G1" s="123"/>
      <c r="H1" s="123"/>
      <c r="I1" s="2"/>
      <c r="J1" s="2"/>
      <c r="K1" s="2"/>
      <c r="L1" s="2"/>
      <c r="M1" s="2"/>
      <c r="N1" s="2"/>
      <c r="O1" s="2"/>
      <c r="P1" s="2"/>
      <c r="Q1" s="2"/>
      <c r="R1" s="2"/>
      <c r="S1" s="2"/>
      <c r="T1" s="2"/>
      <c r="U1" s="2"/>
      <c r="V1" s="2"/>
      <c r="W1" s="2"/>
      <c r="X1" s="2"/>
      <c r="Y1" s="2"/>
      <c r="Z1" s="2"/>
    </row>
    <row r="2" spans="1:26">
      <c r="A2" s="2"/>
      <c r="B2" s="2"/>
      <c r="C2" s="2"/>
      <c r="D2" s="2"/>
      <c r="E2" s="2"/>
      <c r="F2" s="2"/>
      <c r="G2" s="2"/>
      <c r="H2" s="2"/>
      <c r="I2" s="2"/>
      <c r="J2" s="2"/>
      <c r="K2" s="2"/>
      <c r="L2" s="2"/>
      <c r="M2" s="2"/>
      <c r="N2" s="2"/>
      <c r="O2" s="2"/>
      <c r="P2" s="2"/>
      <c r="Q2" s="2"/>
      <c r="R2" s="2"/>
      <c r="S2" s="2"/>
      <c r="T2" s="2"/>
      <c r="U2" s="2"/>
      <c r="V2" s="2"/>
      <c r="W2" s="2"/>
      <c r="X2" s="2"/>
      <c r="Y2" s="2"/>
      <c r="Z2" s="2"/>
    </row>
    <row r="3" spans="1:26">
      <c r="A3" s="3" t="s">
        <v>12</v>
      </c>
      <c r="B3" s="3" t="str">
        <f>IF('Agentic Delivery Assessment'!B4="","",'Agentic Delivery Assessment'!B4)</f>
        <v/>
      </c>
      <c r="C3" s="2"/>
      <c r="D3" s="2"/>
      <c r="E3" s="2"/>
      <c r="F3" s="2"/>
      <c r="G3" s="2"/>
      <c r="H3" s="2"/>
      <c r="I3" s="2"/>
      <c r="J3" s="2"/>
      <c r="K3" s="2"/>
      <c r="L3" s="2"/>
      <c r="M3" s="2"/>
      <c r="N3" s="2"/>
      <c r="O3" s="2"/>
      <c r="P3" s="2"/>
      <c r="Q3" s="2"/>
      <c r="R3" s="2"/>
      <c r="S3" s="2"/>
      <c r="T3" s="2"/>
      <c r="U3" s="2"/>
      <c r="V3" s="2"/>
      <c r="W3" s="2"/>
      <c r="X3" s="2"/>
      <c r="Y3" s="2"/>
      <c r="Z3" s="2"/>
    </row>
    <row r="4" spans="1:26">
      <c r="A4" s="3" t="s">
        <v>13</v>
      </c>
      <c r="B4" s="91" t="str">
        <f>IF('Agentic Delivery Assessment'!D4="","",'Agentic Delivery Assessment'!D4)</f>
        <v/>
      </c>
      <c r="C4" s="2"/>
      <c r="D4" s="2"/>
      <c r="E4" s="2"/>
      <c r="F4" s="2"/>
      <c r="G4" s="2"/>
      <c r="H4" s="2"/>
      <c r="I4" s="2"/>
      <c r="J4" s="2"/>
      <c r="K4" s="2"/>
      <c r="L4" s="2"/>
      <c r="M4" s="2"/>
      <c r="N4" s="2"/>
      <c r="O4" s="2"/>
      <c r="P4" s="2"/>
      <c r="Q4" s="2"/>
      <c r="R4" s="2"/>
      <c r="S4" s="2"/>
      <c r="T4" s="2"/>
      <c r="U4" s="2"/>
      <c r="V4" s="2"/>
      <c r="W4" s="2"/>
      <c r="X4" s="2"/>
      <c r="Y4" s="2"/>
      <c r="Z4" s="2"/>
    </row>
    <row r="5" spans="1:26" s="1" customFormat="1">
      <c r="A5" s="3" t="s">
        <v>20</v>
      </c>
      <c r="B5" s="91" t="str">
        <f>IF('Agentic Delivery Assessment'!E4="","",'Agentic Delivery Assessment'!E4)</f>
        <v/>
      </c>
      <c r="C5" s="2"/>
      <c r="D5" s="2"/>
      <c r="E5" s="2"/>
      <c r="F5" s="10"/>
      <c r="G5" s="10"/>
      <c r="H5" s="10"/>
      <c r="I5" s="10"/>
      <c r="J5" s="10"/>
      <c r="K5" s="10"/>
      <c r="L5" s="10"/>
      <c r="M5" s="10"/>
      <c r="N5" s="10"/>
      <c r="O5" s="10"/>
      <c r="P5" s="10"/>
      <c r="Q5" s="10"/>
      <c r="R5" s="10"/>
      <c r="S5" s="10"/>
      <c r="T5" s="10"/>
      <c r="U5" s="10"/>
      <c r="V5" s="10"/>
      <c r="W5" s="10"/>
      <c r="X5" s="10"/>
      <c r="Y5" s="10"/>
      <c r="Z5" s="10"/>
    </row>
    <row r="6" spans="1:26" s="1" customFormat="1">
      <c r="A6" s="3" t="s">
        <v>21</v>
      </c>
      <c r="B6" s="3" t="str">
        <f>IF('Agentic Delivery Assessment'!F4="","",'Agentic Delivery Assessment'!F4)</f>
        <v/>
      </c>
      <c r="C6" s="2"/>
      <c r="D6" s="2"/>
      <c r="E6" s="2"/>
      <c r="F6" s="10"/>
      <c r="G6" s="10"/>
      <c r="H6" s="10"/>
      <c r="I6" s="10"/>
      <c r="J6" s="10"/>
      <c r="K6" s="10"/>
      <c r="L6" s="10"/>
      <c r="M6" s="10"/>
      <c r="N6" s="10"/>
      <c r="O6" s="10"/>
      <c r="P6" s="10"/>
      <c r="Q6" s="10"/>
      <c r="R6" s="10"/>
      <c r="S6" s="10"/>
      <c r="T6" s="10"/>
      <c r="U6" s="10"/>
      <c r="V6" s="10"/>
      <c r="W6" s="10"/>
      <c r="X6" s="10"/>
      <c r="Y6" s="10"/>
      <c r="Z6" s="10"/>
    </row>
    <row r="7" spans="1:26">
      <c r="F7" s="2"/>
      <c r="G7" s="2"/>
      <c r="H7" s="2"/>
      <c r="I7" s="2"/>
      <c r="J7" s="2"/>
      <c r="K7" s="2"/>
      <c r="L7" s="2"/>
      <c r="M7" s="2"/>
      <c r="N7" s="2"/>
      <c r="O7" s="2"/>
      <c r="P7" s="2"/>
      <c r="Q7" s="2"/>
      <c r="R7" s="2"/>
      <c r="S7" s="2"/>
      <c r="T7" s="2"/>
      <c r="U7" s="2"/>
      <c r="V7" s="2"/>
      <c r="W7" s="2"/>
      <c r="X7" s="2"/>
      <c r="Y7" s="2"/>
      <c r="Z7" s="2"/>
    </row>
    <row r="8" spans="1:26">
      <c r="F8" s="2"/>
      <c r="G8" s="2"/>
      <c r="H8" s="2"/>
      <c r="I8" s="2"/>
      <c r="J8" s="2"/>
      <c r="K8" s="2"/>
      <c r="L8" s="2"/>
      <c r="M8" s="2"/>
      <c r="N8" s="2"/>
      <c r="O8" s="2"/>
      <c r="P8" s="2"/>
      <c r="Q8" s="2"/>
      <c r="R8" s="2"/>
      <c r="S8" s="2"/>
      <c r="T8" s="2"/>
      <c r="U8" s="2"/>
      <c r="V8" s="2"/>
      <c r="W8" s="2"/>
      <c r="X8" s="2"/>
      <c r="Y8" s="2"/>
      <c r="Z8" s="2"/>
    </row>
    <row r="9" spans="1:26" s="94" customFormat="1">
      <c r="A9" s="92"/>
      <c r="B9" s="92"/>
      <c r="D9" s="92"/>
      <c r="E9" s="92"/>
      <c r="F9" s="93"/>
      <c r="G9" s="93"/>
      <c r="H9" s="93"/>
      <c r="I9" s="93"/>
      <c r="J9" s="93"/>
      <c r="K9" s="93"/>
      <c r="L9" s="93"/>
      <c r="M9" s="93"/>
      <c r="N9" s="93"/>
      <c r="O9" s="93"/>
      <c r="P9" s="93"/>
      <c r="Q9" s="93"/>
      <c r="R9" s="93"/>
      <c r="S9" s="93"/>
      <c r="T9" s="93"/>
      <c r="U9" s="93"/>
      <c r="V9" s="93"/>
      <c r="W9" s="93"/>
      <c r="X9" s="93"/>
      <c r="Y9" s="93"/>
      <c r="Z9" s="93"/>
    </row>
    <row r="10" spans="1:26" s="94" customFormat="1" ht="14.5" thickBot="1">
      <c r="A10" s="92"/>
      <c r="B10" s="95"/>
      <c r="C10" s="95"/>
      <c r="D10" s="92"/>
      <c r="E10" s="92"/>
      <c r="F10" s="93"/>
      <c r="G10" s="93"/>
      <c r="H10" s="93"/>
      <c r="I10" s="93"/>
      <c r="J10" s="93"/>
      <c r="K10" s="93"/>
      <c r="L10" s="93"/>
      <c r="M10" s="93"/>
      <c r="N10" s="93"/>
      <c r="O10" s="93"/>
      <c r="P10" s="93"/>
      <c r="Q10" s="93"/>
      <c r="R10" s="93"/>
      <c r="S10" s="93"/>
      <c r="T10" s="93"/>
      <c r="U10" s="93"/>
      <c r="V10" s="93"/>
      <c r="W10" s="93"/>
      <c r="X10" s="93"/>
      <c r="Y10" s="93"/>
      <c r="Z10" s="93"/>
    </row>
    <row r="11" spans="1:26" s="94" customFormat="1" ht="15.5">
      <c r="A11" s="92"/>
      <c r="B11" s="99" t="s">
        <v>138</v>
      </c>
      <c r="C11" s="96">
        <f>'Agentic Delivery Scoring Engine'!B10</f>
        <v>1.5</v>
      </c>
      <c r="D11" s="92"/>
      <c r="E11" s="92"/>
      <c r="F11" s="93"/>
      <c r="G11" s="93"/>
      <c r="H11" s="93"/>
      <c r="I11" s="93"/>
      <c r="J11" s="93"/>
      <c r="K11" s="93"/>
      <c r="L11" s="93"/>
      <c r="M11" s="93"/>
      <c r="N11" s="93"/>
      <c r="O11" s="93"/>
      <c r="P11" s="93"/>
      <c r="Q11" s="93"/>
      <c r="R11" s="93"/>
      <c r="S11" s="93"/>
      <c r="T11" s="93"/>
      <c r="U11" s="93"/>
      <c r="V11" s="93"/>
      <c r="W11" s="93"/>
      <c r="X11" s="93"/>
      <c r="Y11" s="93"/>
      <c r="Z11" s="93"/>
    </row>
    <row r="12" spans="1:26" s="94" customFormat="1" ht="15.5">
      <c r="A12" s="92"/>
      <c r="B12" s="100" t="s">
        <v>130</v>
      </c>
      <c r="C12" s="97" t="str">
        <f>'Agentic Delivery Scoring Engine'!B11</f>
        <v>Assisted Delivery</v>
      </c>
      <c r="D12" s="92"/>
      <c r="E12" s="92"/>
      <c r="F12" s="93"/>
      <c r="G12" s="93"/>
      <c r="H12" s="93"/>
      <c r="I12" s="93"/>
      <c r="J12" s="93"/>
      <c r="K12" s="93"/>
      <c r="L12" s="93"/>
      <c r="M12" s="93"/>
      <c r="N12" s="93"/>
      <c r="O12" s="93"/>
      <c r="P12" s="93"/>
      <c r="Q12" s="93"/>
      <c r="R12" s="93"/>
      <c r="S12" s="93"/>
      <c r="T12" s="93"/>
      <c r="U12" s="93"/>
      <c r="V12" s="93"/>
      <c r="W12" s="93"/>
      <c r="X12" s="93"/>
      <c r="Y12" s="93"/>
      <c r="Z12" s="93"/>
    </row>
    <row r="13" spans="1:26" s="94" customFormat="1" ht="15.5">
      <c r="A13" s="92"/>
      <c r="B13" s="100" t="s">
        <v>207</v>
      </c>
      <c r="C13" s="97">
        <f>'Agentic Delivery Scoring Engine'!B13</f>
        <v>30</v>
      </c>
      <c r="D13" s="92"/>
      <c r="E13" s="92"/>
      <c r="F13" s="93"/>
      <c r="G13" s="93"/>
      <c r="H13" s="93"/>
      <c r="I13" s="93"/>
      <c r="J13" s="93"/>
      <c r="K13" s="93"/>
      <c r="L13" s="93"/>
      <c r="M13" s="93"/>
      <c r="N13" s="93"/>
      <c r="O13" s="93"/>
      <c r="P13" s="93"/>
      <c r="Q13" s="93"/>
      <c r="R13" s="93"/>
      <c r="S13" s="93"/>
      <c r="T13" s="93"/>
      <c r="U13" s="93"/>
      <c r="V13" s="93"/>
      <c r="W13" s="93"/>
      <c r="X13" s="93"/>
      <c r="Y13" s="93"/>
      <c r="Z13" s="93"/>
    </row>
    <row r="14" spans="1:26" s="94" customFormat="1" ht="16" thickBot="1">
      <c r="A14" s="92"/>
      <c r="B14" s="101" t="s">
        <v>31</v>
      </c>
      <c r="C14" s="98" t="str">
        <f>'Agentic Delivery Scoring Engine'!B12</f>
        <v>Critical Risk</v>
      </c>
      <c r="D14" s="92"/>
      <c r="E14" s="92"/>
      <c r="F14" s="93"/>
      <c r="G14" s="93"/>
      <c r="H14" s="93"/>
      <c r="I14" s="93"/>
      <c r="J14" s="93"/>
      <c r="K14" s="93"/>
      <c r="L14" s="93"/>
      <c r="M14" s="93"/>
      <c r="N14" s="93"/>
      <c r="O14" s="93"/>
      <c r="P14" s="93"/>
      <c r="Q14" s="93"/>
      <c r="R14" s="93"/>
      <c r="S14" s="93"/>
      <c r="T14" s="93"/>
      <c r="U14" s="93"/>
      <c r="V14" s="93"/>
      <c r="W14" s="93"/>
      <c r="X14" s="93"/>
      <c r="Y14" s="93"/>
      <c r="Z14" s="93"/>
    </row>
    <row r="15" spans="1:26" s="94" customFormat="1">
      <c r="A15" s="92"/>
      <c r="B15" s="92"/>
      <c r="D15" s="92"/>
      <c r="E15" s="92"/>
      <c r="F15" s="93"/>
      <c r="G15" s="93"/>
      <c r="H15" s="93"/>
      <c r="I15" s="93"/>
      <c r="J15" s="93"/>
      <c r="K15" s="93"/>
      <c r="L15" s="93"/>
      <c r="M15" s="93"/>
      <c r="N15" s="93"/>
      <c r="O15" s="93"/>
      <c r="P15" s="93"/>
      <c r="Q15" s="93"/>
      <c r="R15" s="93"/>
      <c r="S15" s="93"/>
      <c r="T15" s="93"/>
      <c r="U15" s="93"/>
      <c r="V15" s="93"/>
      <c r="W15" s="93"/>
      <c r="X15" s="93"/>
      <c r="Y15" s="93"/>
      <c r="Z15" s="93"/>
    </row>
    <row r="16" spans="1:26" s="94" customFormat="1">
      <c r="A16" s="92"/>
      <c r="B16" s="92"/>
      <c r="C16" s="92"/>
      <c r="D16" s="92"/>
      <c r="E16" s="92"/>
      <c r="F16" s="93"/>
      <c r="G16" s="93"/>
      <c r="H16" s="93"/>
      <c r="I16" s="93"/>
      <c r="J16" s="93"/>
      <c r="K16" s="93"/>
      <c r="L16" s="93"/>
      <c r="M16" s="93"/>
      <c r="N16" s="93"/>
      <c r="O16" s="93"/>
      <c r="P16" s="93"/>
      <c r="Q16" s="93"/>
      <c r="R16" s="93"/>
      <c r="S16" s="93"/>
      <c r="T16" s="93"/>
      <c r="U16" s="93"/>
      <c r="V16" s="93"/>
      <c r="W16" s="93"/>
      <c r="X16" s="93"/>
      <c r="Y16" s="93"/>
      <c r="Z16" s="93"/>
    </row>
    <row r="17" spans="1:26" s="9" customFormat="1">
      <c r="A17" s="7" t="s">
        <v>14</v>
      </c>
      <c r="B17" s="7" t="s">
        <v>15</v>
      </c>
      <c r="C17" s="8"/>
      <c r="D17" s="8"/>
      <c r="E17" s="8"/>
      <c r="F17" s="8"/>
      <c r="G17" s="8"/>
      <c r="H17" s="8"/>
      <c r="I17" s="8"/>
      <c r="J17" s="8"/>
      <c r="K17" s="8"/>
      <c r="L17" s="8"/>
      <c r="M17" s="8"/>
      <c r="N17" s="8"/>
      <c r="O17" s="8"/>
      <c r="P17" s="8"/>
      <c r="Q17" s="8"/>
      <c r="R17" s="8"/>
      <c r="S17" s="8"/>
      <c r="T17" s="8"/>
      <c r="U17" s="8"/>
      <c r="V17" s="8"/>
      <c r="W17" s="8"/>
      <c r="X17" s="8"/>
      <c r="Y17" s="8"/>
      <c r="Z17" s="8"/>
    </row>
    <row r="18" spans="1:26">
      <c r="A18" s="4" t="str">
        <f>IFERROR(INDEX('Agentic Delivery Scoring Engine'!$A$4:$A$9,MATCH(LARGE('Agentic Delivery Scoring Engine'!$B$4:$B$9,1),'Agentic Delivery Scoring Engine'!$B$4:$B$9,0))&amp;" ("&amp;TEXT(LARGE('Agentic Delivery Scoring Engine'!$B$4:$B$9,1),"0.00")&amp;")","")</f>
        <v>Strategy &amp; Value (2.00)</v>
      </c>
      <c r="B18" s="4" t="str">
        <f>IFERROR(INDEX('Agentic Delivery Scoring Engine'!$A$4:$A$9,MATCH(SMALL('Agentic Delivery Scoring Engine'!$B$4:$B$9,1),'Agentic Delivery Scoring Engine'!$B$4:$B$9,0))&amp;" ("&amp;TEXT(SMALL('Agentic Delivery Scoring Engine'!$B$4:$B$9,1),"0.00")&amp;")","")</f>
        <v>Human-in-the-Loop (1.00)</v>
      </c>
      <c r="C18" s="2"/>
      <c r="D18" s="2"/>
      <c r="E18" s="2"/>
      <c r="F18" s="2"/>
      <c r="G18" s="2"/>
      <c r="H18" s="2"/>
      <c r="I18" s="2"/>
      <c r="J18" s="2"/>
      <c r="K18" s="2"/>
      <c r="L18" s="2"/>
      <c r="M18" s="2"/>
      <c r="N18" s="2"/>
      <c r="O18" s="2"/>
      <c r="P18" s="2"/>
      <c r="Q18" s="2"/>
      <c r="R18" s="2"/>
      <c r="S18" s="2"/>
      <c r="T18" s="2"/>
      <c r="U18" s="2"/>
      <c r="V18" s="2"/>
      <c r="W18" s="2"/>
      <c r="X18" s="2"/>
      <c r="Y18" s="2"/>
      <c r="Z18" s="2"/>
    </row>
    <row r="19" spans="1:26">
      <c r="A19" s="4" t="str">
        <f>IFERROR(INDEX('Agentic Delivery Scoring Engine'!$A$4:$A$9,MATCH(LARGE('Agentic Delivery Scoring Engine'!$B$4:$B$9,2),'Agentic Delivery Scoring Engine'!$B$4:$B$9,0))&amp;" ("&amp;TEXT(LARGE('Agentic Delivery Scoring Engine'!$B$4:$B$9,2),"0.00")&amp;")","")</f>
        <v>Human-in-the-Loop (1.00)</v>
      </c>
      <c r="B19" s="4" t="str">
        <f>IFERROR(INDEX('Agentic Delivery Scoring Engine'!$A$4:$A$9,MATCH(SMALL('Agentic Delivery Scoring Engine'!$B$4:$B$9,2),'Agentic Delivery Scoring Engine'!$B$4:$B$9,0))&amp;" ("&amp;TEXT(SMALL('Agentic Delivery Scoring Engine'!$B$4:$B$9,2),"0.00")&amp;")","")</f>
        <v>Strategy &amp; Value (2.00)</v>
      </c>
      <c r="C19" s="2"/>
      <c r="D19" s="2"/>
      <c r="E19" s="2"/>
      <c r="F19" s="2"/>
      <c r="G19" s="2"/>
      <c r="H19" s="2"/>
      <c r="I19" s="2"/>
      <c r="J19" s="2"/>
      <c r="K19" s="2"/>
      <c r="L19" s="2"/>
      <c r="M19" s="2"/>
      <c r="N19" s="2"/>
      <c r="O19" s="2"/>
      <c r="P19" s="2"/>
      <c r="Q19" s="2"/>
      <c r="R19" s="2"/>
      <c r="S19" s="2"/>
      <c r="T19" s="2"/>
      <c r="U19" s="2"/>
      <c r="V19" s="2"/>
      <c r="W19" s="2"/>
      <c r="X19" s="2"/>
      <c r="Y19" s="2"/>
      <c r="Z19" s="2"/>
    </row>
    <row r="20" spans="1:26">
      <c r="A20" s="4" t="str">
        <f>IFERROR(INDEX('Agentic Delivery Scoring Engine'!$A$4:$A$9,MATCH(LARGE('Agentic Delivery Scoring Engine'!$B$4:$B$9,3),'Agentic Delivery Scoring Engine'!$B$4:$B$9,0))&amp;" ("&amp;TEXT(LARGE('Agentic Delivery Scoring Engine'!$B$4:$B$9,3),"0.00")&amp;")","")</f>
        <v/>
      </c>
      <c r="B20" s="4" t="str">
        <f>IFERROR(INDEX('Agentic Delivery Scoring Engine'!$A$4:$A$9,MATCH(SMALL('Agentic Delivery Scoring Engine'!$B$4:$B$9,3),'Agentic Delivery Scoring Engine'!$B$4:$B$9,0))&amp;" ("&amp;TEXT(SMALL('Agentic Delivery Scoring Engine'!$B$4:$B$9,3),"0.00")&amp;")","")</f>
        <v/>
      </c>
      <c r="C20" s="2"/>
      <c r="D20" s="2"/>
      <c r="E20" s="2"/>
      <c r="F20" s="2"/>
      <c r="G20" s="2"/>
      <c r="H20" s="2"/>
      <c r="I20" s="2"/>
      <c r="J20" s="2"/>
      <c r="K20" s="2"/>
      <c r="L20" s="2"/>
      <c r="M20" s="2"/>
      <c r="N20" s="2"/>
      <c r="O20" s="2"/>
      <c r="P20" s="2"/>
      <c r="Q20" s="2"/>
      <c r="R20" s="2"/>
      <c r="S20" s="2"/>
      <c r="T20" s="2"/>
      <c r="U20" s="2"/>
      <c r="V20" s="2"/>
      <c r="W20" s="2"/>
      <c r="X20" s="2"/>
      <c r="Y20" s="2"/>
      <c r="Z20" s="2"/>
    </row>
    <row r="2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s="103" customFormat="1">
      <c r="A22" s="138" t="s">
        <v>16</v>
      </c>
      <c r="B22" s="139"/>
      <c r="C22" s="139"/>
      <c r="D22" s="139"/>
      <c r="E22" s="139"/>
      <c r="F22" s="139"/>
      <c r="G22" s="139"/>
      <c r="H22" s="139"/>
      <c r="I22" s="102"/>
      <c r="J22" s="102"/>
      <c r="K22" s="102"/>
      <c r="L22" s="102"/>
      <c r="M22" s="102"/>
      <c r="N22" s="102"/>
      <c r="O22" s="102"/>
      <c r="P22" s="102"/>
      <c r="Q22" s="102"/>
      <c r="R22" s="102"/>
      <c r="S22" s="102"/>
      <c r="T22" s="102"/>
      <c r="U22" s="102"/>
      <c r="V22" s="102"/>
      <c r="W22" s="102"/>
      <c r="X22" s="102"/>
      <c r="Y22" s="102"/>
      <c r="Z22" s="102"/>
    </row>
    <row r="23" spans="1:26">
      <c r="A23" s="140" t="str">
        <f>IF('Agentic Delivery Scoring Engine'!B10&lt;3,"Establish foundational Agentic Delivery capabilities including strategy, governance, human-in-the-loop controls, executive sponsorship, decision rights and agent workforce planning.",IF('Agentic Delivery Scoring Engine'!B10&lt;4,"Formalise the Agentic Delivery operating model, strengthen governance and risk controls, embed human oversight mechanisms, expand agent-enabled delivery capabilities and enhance supporting technology platforms.","Scale autonomous delivery capabilities, optimise the human-agent workforce, accelerate value realisation, mature performance reporting and drive continuous improvement across the agent ecosystem."))</f>
        <v>Establish foundational Agentic Delivery capabilities including strategy, governance, human-in-the-loop controls, executive sponsorship, decision rights and agent workforce planning.</v>
      </c>
      <c r="B23" s="123"/>
      <c r="C23" s="123"/>
      <c r="D23" s="123"/>
      <c r="E23" s="123"/>
      <c r="F23" s="123"/>
      <c r="G23" s="123"/>
      <c r="H23" s="123"/>
      <c r="I23" s="2"/>
      <c r="J23" s="2"/>
      <c r="K23" s="2"/>
      <c r="L23" s="2"/>
      <c r="M23" s="2"/>
      <c r="N23" s="2"/>
      <c r="O23" s="2"/>
      <c r="P23" s="2"/>
      <c r="Q23" s="2"/>
      <c r="R23" s="2"/>
      <c r="S23" s="2"/>
      <c r="T23" s="2"/>
      <c r="U23" s="2"/>
      <c r="V23" s="2"/>
      <c r="W23" s="2"/>
      <c r="X23" s="2"/>
      <c r="Y23" s="2"/>
      <c r="Z23" s="2"/>
    </row>
    <row r="24" spans="1:26">
      <c r="A24" s="123"/>
      <c r="B24" s="137"/>
      <c r="C24" s="137"/>
      <c r="D24" s="137"/>
      <c r="E24" s="137"/>
      <c r="F24" s="137"/>
      <c r="G24" s="137"/>
      <c r="H24" s="123"/>
      <c r="I24" s="2"/>
      <c r="J24" s="2"/>
      <c r="K24" s="2"/>
      <c r="L24" s="2"/>
      <c r="M24" s="2"/>
      <c r="N24" s="2"/>
      <c r="O24" s="2"/>
      <c r="P24" s="2"/>
      <c r="Q24" s="2"/>
      <c r="R24" s="2"/>
      <c r="S24" s="2"/>
      <c r="T24" s="2"/>
      <c r="U24" s="2"/>
      <c r="V24" s="2"/>
      <c r="W24" s="2"/>
      <c r="X24" s="2"/>
      <c r="Y24" s="2"/>
      <c r="Z24" s="2"/>
    </row>
    <row r="25" spans="1:26">
      <c r="A25" s="123"/>
      <c r="B25" s="137"/>
      <c r="C25" s="137"/>
      <c r="D25" s="137"/>
      <c r="E25" s="137"/>
      <c r="F25" s="137"/>
      <c r="G25" s="137"/>
      <c r="H25" s="123"/>
      <c r="I25" s="2"/>
      <c r="J25" s="2"/>
      <c r="K25" s="2"/>
      <c r="L25" s="2"/>
      <c r="M25" s="2"/>
      <c r="N25" s="2"/>
      <c r="O25" s="2"/>
      <c r="P25" s="2"/>
      <c r="Q25" s="2"/>
      <c r="R25" s="2"/>
      <c r="S25" s="2"/>
      <c r="T25" s="2"/>
      <c r="U25" s="2"/>
      <c r="V25" s="2"/>
      <c r="W25" s="2"/>
      <c r="X25" s="2"/>
      <c r="Y25" s="2"/>
      <c r="Z25" s="2"/>
    </row>
    <row r="26" spans="1:26">
      <c r="A26" s="123"/>
      <c r="B26" s="123"/>
      <c r="C26" s="123"/>
      <c r="D26" s="123"/>
      <c r="E26" s="123"/>
      <c r="F26" s="123"/>
      <c r="G26" s="123"/>
      <c r="H26" s="123"/>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s="103" customFormat="1">
      <c r="A28" s="138" t="s">
        <v>17</v>
      </c>
      <c r="B28" s="139"/>
      <c r="C28" s="139"/>
      <c r="D28" s="139"/>
      <c r="E28" s="139"/>
      <c r="F28" s="139"/>
      <c r="G28" s="139"/>
      <c r="H28" s="139"/>
      <c r="I28" s="102"/>
      <c r="J28" s="102"/>
      <c r="K28" s="102"/>
      <c r="L28" s="102"/>
      <c r="M28" s="102"/>
      <c r="N28" s="102"/>
      <c r="O28" s="102"/>
      <c r="P28" s="102"/>
      <c r="Q28" s="102"/>
      <c r="R28" s="102"/>
      <c r="S28" s="102"/>
      <c r="T28" s="102"/>
      <c r="U28" s="102"/>
      <c r="V28" s="102"/>
      <c r="W28" s="102"/>
      <c r="X28" s="102"/>
      <c r="Y28" s="102"/>
      <c r="Z28" s="102"/>
    </row>
    <row r="29" spans="1:26">
      <c r="A29" s="136" t="str">
        <f>IF('Agentic Delivery Scoring Engine'!B10&lt;3,"0–3 Month Focus: Establish foundational Agentic Delivery capabilities including strategy, governance, human-in-the-loop controls, executive sponsorship, decision rights and agent workforce planning.",IF('Agentic Delivery Scoring Engine'!B10&lt;4,"3–6 Month Focus: Formalise the Agentic Delivery operating model, strengthen governance and risk controls, embed human oversight mechanisms, expand agent-enabled delivery capabilities and enhance supporting technology platforms.","6–12 Month Focus: Scale autonomous delivery capabilities, optimise the human-agent workforce, accelerate value realisation, mature performance reporting and drive continuous improvement across the agent ecosystem."))</f>
        <v>0–3 Month Focus: Establish foundational Agentic Delivery capabilities including strategy, governance, human-in-the-loop controls, executive sponsorship, decision rights and agent workforce planning.</v>
      </c>
      <c r="B29" s="123"/>
      <c r="C29" s="123"/>
      <c r="D29" s="123"/>
      <c r="E29" s="123"/>
      <c r="F29" s="123"/>
      <c r="G29" s="123"/>
      <c r="H29" s="123"/>
      <c r="I29" s="2"/>
      <c r="J29" s="2"/>
      <c r="K29" s="2"/>
      <c r="L29" s="2"/>
      <c r="M29" s="2"/>
      <c r="N29" s="2"/>
      <c r="O29" s="2"/>
      <c r="P29" s="2"/>
      <c r="Q29" s="2"/>
      <c r="R29" s="2"/>
      <c r="S29" s="2"/>
      <c r="T29" s="2"/>
      <c r="U29" s="2"/>
      <c r="V29" s="2"/>
      <c r="W29" s="2"/>
      <c r="X29" s="2"/>
      <c r="Y29" s="2"/>
      <c r="Z29" s="2"/>
    </row>
    <row r="30" spans="1:26">
      <c r="A30" s="123"/>
      <c r="B30" s="137"/>
      <c r="C30" s="137"/>
      <c r="D30" s="137"/>
      <c r="E30" s="137"/>
      <c r="F30" s="137"/>
      <c r="G30" s="137"/>
      <c r="H30" s="123"/>
      <c r="I30" s="2"/>
      <c r="J30" s="2"/>
      <c r="K30" s="2"/>
      <c r="L30" s="2"/>
      <c r="M30" s="2"/>
      <c r="N30" s="2"/>
      <c r="O30" s="2"/>
      <c r="P30" s="2"/>
      <c r="Q30" s="2"/>
      <c r="R30" s="2"/>
      <c r="S30" s="2"/>
      <c r="T30" s="2"/>
      <c r="U30" s="2"/>
      <c r="V30" s="2"/>
      <c r="W30" s="2"/>
      <c r="X30" s="2"/>
      <c r="Y30" s="2"/>
      <c r="Z30" s="2"/>
    </row>
    <row r="31" spans="1:26">
      <c r="A31" s="123"/>
      <c r="B31" s="137"/>
      <c r="C31" s="137"/>
      <c r="D31" s="137"/>
      <c r="E31" s="137"/>
      <c r="F31" s="137"/>
      <c r="G31" s="137"/>
      <c r="H31" s="123"/>
      <c r="I31" s="2"/>
      <c r="J31" s="2"/>
      <c r="K31" s="2"/>
      <c r="L31" s="2"/>
      <c r="M31" s="2"/>
      <c r="N31" s="2"/>
      <c r="O31" s="2"/>
      <c r="P31" s="2"/>
      <c r="Q31" s="2"/>
      <c r="R31" s="2"/>
      <c r="S31" s="2"/>
      <c r="T31" s="2"/>
      <c r="U31" s="2"/>
      <c r="V31" s="2"/>
      <c r="W31" s="2"/>
      <c r="X31" s="2"/>
      <c r="Y31" s="2"/>
      <c r="Z31" s="2"/>
    </row>
    <row r="32" spans="1:26">
      <c r="A32" s="123"/>
      <c r="B32" s="137"/>
      <c r="C32" s="137"/>
      <c r="D32" s="137"/>
      <c r="E32" s="137"/>
      <c r="F32" s="137"/>
      <c r="G32" s="137"/>
      <c r="H32" s="123"/>
      <c r="I32" s="2"/>
      <c r="J32" s="2"/>
      <c r="K32" s="2"/>
      <c r="L32" s="2"/>
      <c r="M32" s="2"/>
      <c r="N32" s="2"/>
      <c r="O32" s="2"/>
      <c r="P32" s="2"/>
      <c r="Q32" s="2"/>
      <c r="R32" s="2"/>
      <c r="S32" s="2"/>
      <c r="T32" s="2"/>
      <c r="U32" s="2"/>
      <c r="V32" s="2"/>
      <c r="W32" s="2"/>
      <c r="X32" s="2"/>
      <c r="Y32" s="2"/>
      <c r="Z32" s="2"/>
    </row>
    <row r="33" spans="1:26">
      <c r="A33" s="123"/>
      <c r="B33" s="123"/>
      <c r="C33" s="123"/>
      <c r="D33" s="123"/>
      <c r="E33" s="123"/>
      <c r="F33" s="123"/>
      <c r="G33" s="123"/>
      <c r="H33" s="123"/>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sheetData>
  <mergeCells count="5">
    <mergeCell ref="A29:H33"/>
    <mergeCell ref="A22:H22"/>
    <mergeCell ref="A28:H28"/>
    <mergeCell ref="A23:H26"/>
    <mergeCell ref="A1:H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F8270-13AA-43FE-926E-DB89AE1DC0C5}">
  <dimension ref="B3:C12"/>
  <sheetViews>
    <sheetView showGridLines="0" workbookViewId="0">
      <selection activeCell="B13" sqref="B13"/>
    </sheetView>
  </sheetViews>
  <sheetFormatPr defaultRowHeight="14"/>
  <cols>
    <col min="2" max="2" width="54.4140625" customWidth="1"/>
    <col min="3" max="3" width="57.33203125" bestFit="1" customWidth="1"/>
  </cols>
  <sheetData>
    <row r="3" spans="2:3">
      <c r="B3" t="s">
        <v>67</v>
      </c>
    </row>
    <row r="6" spans="2:3" s="82" customFormat="1">
      <c r="B6" s="112" t="s">
        <v>29</v>
      </c>
      <c r="C6" s="112" t="s">
        <v>65</v>
      </c>
    </row>
    <row r="7" spans="2:3">
      <c r="B7" s="81" t="s">
        <v>114</v>
      </c>
      <c r="C7" s="81" t="s">
        <v>123</v>
      </c>
    </row>
    <row r="8" spans="2:3">
      <c r="B8" s="81" t="s">
        <v>116</v>
      </c>
      <c r="C8" s="81" t="s">
        <v>128</v>
      </c>
    </row>
    <row r="9" spans="2:3">
      <c r="B9" s="81" t="s">
        <v>117</v>
      </c>
      <c r="C9" s="81" t="s">
        <v>127</v>
      </c>
    </row>
    <row r="10" spans="2:3">
      <c r="B10" s="81" t="s">
        <v>118</v>
      </c>
      <c r="C10" s="81" t="s">
        <v>126</v>
      </c>
    </row>
    <row r="11" spans="2:3">
      <c r="B11" s="81" t="s">
        <v>30</v>
      </c>
      <c r="C11" s="81" t="s">
        <v>125</v>
      </c>
    </row>
    <row r="12" spans="2:3">
      <c r="B12" s="81" t="s">
        <v>119</v>
      </c>
      <c r="C12" s="81" t="s">
        <v>124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3DE5A-C6F2-48DB-B9A3-5676485D8F44}">
  <dimension ref="A1:AA212"/>
  <sheetViews>
    <sheetView showGridLines="0" workbookViewId="0">
      <selection activeCell="J209" sqref="J209"/>
    </sheetView>
  </sheetViews>
  <sheetFormatPr defaultColWidth="0" defaultRowHeight="14"/>
  <cols>
    <col min="1" max="1" width="3.5" style="1" customWidth="1"/>
    <col min="2" max="2" width="8.6640625" style="1" customWidth="1"/>
    <col min="3" max="3" width="12.9140625" style="1" customWidth="1"/>
    <col min="4" max="4" width="53.75" style="1" customWidth="1"/>
    <col min="5" max="27" width="8.6640625" style="1" customWidth="1"/>
    <col min="28" max="16384" width="8.6640625" style="1" hidden="1"/>
  </cols>
  <sheetData>
    <row r="1" spans="2:4" ht="30">
      <c r="B1" s="11" t="s">
        <v>131</v>
      </c>
      <c r="C1"/>
      <c r="D1"/>
    </row>
    <row r="2" spans="2:4">
      <c r="B2"/>
      <c r="C2"/>
      <c r="D2"/>
    </row>
    <row r="3" spans="2:4" ht="23">
      <c r="B3" s="113" t="s">
        <v>33</v>
      </c>
      <c r="C3"/>
      <c r="D3"/>
    </row>
    <row r="4" spans="2:4">
      <c r="B4"/>
      <c r="C4"/>
      <c r="D4"/>
    </row>
    <row r="5" spans="2:4" ht="17.5">
      <c r="B5" s="114" t="s">
        <v>18</v>
      </c>
      <c r="C5"/>
      <c r="D5"/>
    </row>
    <row r="6" spans="2:4">
      <c r="B6"/>
      <c r="C6"/>
      <c r="D6"/>
    </row>
    <row r="7" spans="2:4">
      <c r="B7" t="s">
        <v>132</v>
      </c>
      <c r="C7"/>
      <c r="D7"/>
    </row>
    <row r="8" spans="2:4">
      <c r="B8"/>
      <c r="C8"/>
      <c r="D8"/>
    </row>
    <row r="9" spans="2:4">
      <c r="B9" t="s">
        <v>133</v>
      </c>
      <c r="C9"/>
      <c r="D9"/>
    </row>
    <row r="10" spans="2:4">
      <c r="B10"/>
      <c r="C10"/>
      <c r="D10"/>
    </row>
    <row r="11" spans="2:4">
      <c r="B11" t="s">
        <v>134</v>
      </c>
      <c r="C11"/>
      <c r="D11"/>
    </row>
    <row r="12" spans="2:4">
      <c r="B12"/>
      <c r="C12"/>
      <c r="D12"/>
    </row>
    <row r="13" spans="2:4">
      <c r="B13" t="s">
        <v>135</v>
      </c>
      <c r="C13"/>
      <c r="D13"/>
    </row>
    <row r="14" spans="2:4">
      <c r="B14"/>
      <c r="C14"/>
      <c r="D14"/>
    </row>
    <row r="15" spans="2:4">
      <c r="B15"/>
      <c r="C15"/>
      <c r="D15"/>
    </row>
    <row r="16" spans="2:4">
      <c r="B16"/>
      <c r="C16"/>
      <c r="D16"/>
    </row>
    <row r="17" spans="2:4" ht="30">
      <c r="B17" s="11" t="s">
        <v>34</v>
      </c>
      <c r="C17"/>
      <c r="D17"/>
    </row>
    <row r="18" spans="2:4">
      <c r="B18"/>
      <c r="C18"/>
      <c r="D18"/>
    </row>
    <row r="19" spans="2:4" ht="17.5">
      <c r="B19" s="114" t="s">
        <v>35</v>
      </c>
      <c r="C19"/>
      <c r="D19"/>
    </row>
    <row r="20" spans="2:4">
      <c r="B20"/>
      <c r="C20"/>
      <c r="D20"/>
    </row>
    <row r="21" spans="2:4">
      <c r="B21" t="s">
        <v>136</v>
      </c>
      <c r="C21"/>
      <c r="D21"/>
    </row>
    <row r="22" spans="2:4">
      <c r="B22"/>
      <c r="C22"/>
      <c r="D22"/>
    </row>
    <row r="23" spans="2:4" s="62" customFormat="1">
      <c r="B23" t="s">
        <v>36</v>
      </c>
      <c r="C23"/>
      <c r="D23"/>
    </row>
    <row r="24" spans="2:4">
      <c r="B24"/>
      <c r="C24"/>
      <c r="D24"/>
    </row>
    <row r="25" spans="2:4" s="62" customFormat="1" ht="17.5">
      <c r="B25" s="114" t="s">
        <v>37</v>
      </c>
      <c r="C25"/>
      <c r="D25"/>
    </row>
    <row r="26" spans="2:4" s="62" customFormat="1">
      <c r="B26"/>
      <c r="C26"/>
      <c r="D26"/>
    </row>
    <row r="27" spans="2:4" s="62" customFormat="1">
      <c r="B27" t="s">
        <v>38</v>
      </c>
      <c r="C27"/>
      <c r="D27"/>
    </row>
    <row r="28" spans="2:4" s="62" customFormat="1">
      <c r="B28" s="115"/>
      <c r="C28"/>
      <c r="D28"/>
    </row>
    <row r="29" spans="2:4" s="62" customFormat="1">
      <c r="B29" s="115" t="s">
        <v>137</v>
      </c>
      <c r="C29"/>
      <c r="D29"/>
    </row>
    <row r="30" spans="2:4" s="62" customFormat="1">
      <c r="B30" s="115" t="s">
        <v>138</v>
      </c>
      <c r="C30"/>
      <c r="D30"/>
    </row>
    <row r="31" spans="2:4" s="62" customFormat="1">
      <c r="B31" s="115" t="s">
        <v>139</v>
      </c>
      <c r="C31"/>
      <c r="D31"/>
    </row>
    <row r="32" spans="2:4">
      <c r="B32" s="115" t="s">
        <v>140</v>
      </c>
      <c r="C32"/>
      <c r="D32"/>
    </row>
    <row r="33" spans="2:4">
      <c r="B33" s="115" t="s">
        <v>141</v>
      </c>
      <c r="C33"/>
      <c r="D33"/>
    </row>
    <row r="34" spans="2:4">
      <c r="B34"/>
      <c r="C34"/>
      <c r="D34"/>
    </row>
    <row r="35" spans="2:4" ht="17.5">
      <c r="B35" s="114" t="s">
        <v>39</v>
      </c>
      <c r="C35"/>
      <c r="D35"/>
    </row>
    <row r="36" spans="2:4">
      <c r="B36"/>
      <c r="C36"/>
      <c r="D36"/>
    </row>
    <row r="37" spans="2:4">
      <c r="B37" t="s">
        <v>40</v>
      </c>
      <c r="C37"/>
      <c r="D37"/>
    </row>
    <row r="38" spans="2:4">
      <c r="B38" s="115"/>
      <c r="C38"/>
      <c r="D38"/>
    </row>
    <row r="39" spans="2:4" s="62" customFormat="1">
      <c r="B39" s="115" t="s">
        <v>142</v>
      </c>
      <c r="C39"/>
      <c r="D39"/>
    </row>
    <row r="40" spans="2:4" s="62" customFormat="1">
      <c r="B40" s="115" t="s">
        <v>143</v>
      </c>
      <c r="C40"/>
      <c r="D40"/>
    </row>
    <row r="41" spans="2:4" s="62" customFormat="1">
      <c r="B41" s="115" t="s">
        <v>41</v>
      </c>
      <c r="C41"/>
      <c r="D41"/>
    </row>
    <row r="42" spans="2:4" s="62" customFormat="1">
      <c r="B42" s="115" t="s">
        <v>144</v>
      </c>
      <c r="C42"/>
      <c r="D42"/>
    </row>
    <row r="43" spans="2:4" s="62" customFormat="1">
      <c r="B43"/>
      <c r="C43"/>
      <c r="D43"/>
    </row>
    <row r="44" spans="2:4" s="62" customFormat="1" ht="17.5">
      <c r="B44" s="114" t="s">
        <v>42</v>
      </c>
      <c r="C44"/>
      <c r="D44"/>
    </row>
    <row r="45" spans="2:4" s="62" customFormat="1">
      <c r="B45"/>
      <c r="C45"/>
      <c r="D45"/>
    </row>
    <row r="46" spans="2:4" s="62" customFormat="1">
      <c r="B46" t="s">
        <v>43</v>
      </c>
      <c r="C46"/>
      <c r="D46"/>
    </row>
    <row r="47" spans="2:4" s="62" customFormat="1">
      <c r="B47" s="115"/>
      <c r="C47"/>
      <c r="D47"/>
    </row>
    <row r="48" spans="2:4">
      <c r="B48" s="115" t="s">
        <v>44</v>
      </c>
      <c r="C48"/>
      <c r="D48"/>
    </row>
    <row r="49" spans="2:4">
      <c r="B49" s="115" t="s">
        <v>45</v>
      </c>
      <c r="C49"/>
      <c r="D49"/>
    </row>
    <row r="50" spans="2:4">
      <c r="B50" s="115" t="s">
        <v>145</v>
      </c>
      <c r="C50"/>
      <c r="D50"/>
    </row>
    <row r="51" spans="2:4">
      <c r="B51"/>
      <c r="C51"/>
      <c r="D51"/>
    </row>
    <row r="52" spans="2:4" ht="17.5">
      <c r="B52" s="114" t="s">
        <v>46</v>
      </c>
      <c r="C52"/>
      <c r="D52"/>
    </row>
    <row r="53" spans="2:4">
      <c r="B53"/>
      <c r="C53"/>
      <c r="D53"/>
    </row>
    <row r="54" spans="2:4">
      <c r="B54" t="s">
        <v>146</v>
      </c>
      <c r="C54"/>
      <c r="D54"/>
    </row>
    <row r="55" spans="2:4" s="62" customFormat="1">
      <c r="B55"/>
      <c r="C55"/>
      <c r="D55"/>
    </row>
    <row r="56" spans="2:4" s="62" customFormat="1">
      <c r="B56"/>
      <c r="C56"/>
      <c r="D56"/>
    </row>
    <row r="57" spans="2:4" s="62" customFormat="1">
      <c r="B57"/>
      <c r="C57"/>
      <c r="D57"/>
    </row>
    <row r="58" spans="2:4" s="62" customFormat="1" ht="30">
      <c r="B58" s="11" t="s">
        <v>147</v>
      </c>
      <c r="C58"/>
      <c r="D58"/>
    </row>
    <row r="59" spans="2:4" s="62" customFormat="1">
      <c r="B59"/>
      <c r="C59"/>
      <c r="D59"/>
    </row>
    <row r="60" spans="2:4" s="62" customFormat="1">
      <c r="B60" t="s">
        <v>148</v>
      </c>
      <c r="C60"/>
      <c r="D60"/>
    </row>
    <row r="61" spans="2:4" s="62" customFormat="1">
      <c r="B61"/>
      <c r="C61"/>
      <c r="D61"/>
    </row>
    <row r="62" spans="2:4" s="62" customFormat="1">
      <c r="B62"/>
      <c r="C62"/>
      <c r="D62"/>
    </row>
    <row r="63" spans="2:4" s="62" customFormat="1">
      <c r="B63"/>
      <c r="C63"/>
      <c r="D63"/>
    </row>
    <row r="64" spans="2:4" ht="23">
      <c r="B64" s="113" t="s">
        <v>149</v>
      </c>
      <c r="C64"/>
      <c r="D64"/>
    </row>
    <row r="65" spans="2:4">
      <c r="B65"/>
      <c r="C65"/>
      <c r="D65"/>
    </row>
    <row r="66" spans="2:4" ht="17.5">
      <c r="B66" s="114" t="s">
        <v>18</v>
      </c>
      <c r="C66"/>
      <c r="D66"/>
    </row>
    <row r="67" spans="2:4">
      <c r="B67"/>
      <c r="C67"/>
      <c r="D67"/>
    </row>
    <row r="68" spans="2:4">
      <c r="B68" t="s">
        <v>150</v>
      </c>
      <c r="C68"/>
      <c r="D68"/>
    </row>
    <row r="69" spans="2:4">
      <c r="B69"/>
      <c r="C69"/>
      <c r="D69"/>
    </row>
    <row r="70" spans="2:4" ht="17.5">
      <c r="B70" s="114" t="s">
        <v>47</v>
      </c>
      <c r="C70"/>
      <c r="D70"/>
    </row>
    <row r="71" spans="2:4" s="62" customFormat="1">
      <c r="B71" s="115"/>
      <c r="C71"/>
      <c r="D71"/>
    </row>
    <row r="72" spans="2:4" s="62" customFormat="1">
      <c r="B72" s="115" t="s">
        <v>151</v>
      </c>
      <c r="C72"/>
      <c r="D72"/>
    </row>
    <row r="73" spans="2:4" s="62" customFormat="1">
      <c r="B73" s="115" t="s">
        <v>48</v>
      </c>
      <c r="C73"/>
      <c r="D73"/>
    </row>
    <row r="74" spans="2:4" s="62" customFormat="1">
      <c r="B74" s="115" t="s">
        <v>54</v>
      </c>
      <c r="C74"/>
      <c r="D74"/>
    </row>
    <row r="75" spans="2:4" s="62" customFormat="1">
      <c r="B75" s="115" t="s">
        <v>152</v>
      </c>
      <c r="C75"/>
      <c r="D75"/>
    </row>
    <row r="76" spans="2:4" s="62" customFormat="1">
      <c r="B76" s="115" t="s">
        <v>153</v>
      </c>
      <c r="C76"/>
      <c r="D76"/>
    </row>
    <row r="77" spans="2:4" s="62" customFormat="1">
      <c r="B77" s="115" t="s">
        <v>154</v>
      </c>
      <c r="C77"/>
      <c r="D77"/>
    </row>
    <row r="78" spans="2:4" s="62" customFormat="1">
      <c r="B78"/>
      <c r="C78"/>
      <c r="D78"/>
    </row>
    <row r="79" spans="2:4" s="62" customFormat="1">
      <c r="B79"/>
      <c r="C79"/>
      <c r="D79"/>
    </row>
    <row r="80" spans="2:4">
      <c r="B80"/>
      <c r="C80"/>
      <c r="D80"/>
    </row>
    <row r="81" spans="2:4" ht="23">
      <c r="B81" s="113" t="s">
        <v>155</v>
      </c>
      <c r="C81"/>
      <c r="D81"/>
    </row>
    <row r="82" spans="2:4">
      <c r="B82"/>
      <c r="C82"/>
      <c r="D82"/>
    </row>
    <row r="83" spans="2:4" ht="17.5">
      <c r="B83" s="114" t="s">
        <v>18</v>
      </c>
      <c r="C83"/>
      <c r="D83"/>
    </row>
    <row r="84" spans="2:4">
      <c r="B84"/>
      <c r="C84"/>
      <c r="D84"/>
    </row>
    <row r="85" spans="2:4">
      <c r="B85" t="s">
        <v>156</v>
      </c>
      <c r="C85"/>
      <c r="D85"/>
    </row>
    <row r="86" spans="2:4">
      <c r="B86"/>
      <c r="C86"/>
      <c r="D86"/>
    </row>
    <row r="87" spans="2:4" s="62" customFormat="1" ht="17.5">
      <c r="B87" s="114" t="s">
        <v>47</v>
      </c>
      <c r="C87"/>
      <c r="D87"/>
    </row>
    <row r="88" spans="2:4" s="62" customFormat="1">
      <c r="B88" s="115"/>
      <c r="C88"/>
      <c r="D88"/>
    </row>
    <row r="89" spans="2:4" s="62" customFormat="1">
      <c r="B89" s="115" t="s">
        <v>157</v>
      </c>
      <c r="C89"/>
      <c r="D89"/>
    </row>
    <row r="90" spans="2:4" s="62" customFormat="1">
      <c r="B90" s="115" t="s">
        <v>158</v>
      </c>
      <c r="C90"/>
      <c r="D90"/>
    </row>
    <row r="91" spans="2:4" s="62" customFormat="1">
      <c r="B91" s="115" t="s">
        <v>159</v>
      </c>
      <c r="C91"/>
      <c r="D91"/>
    </row>
    <row r="92" spans="2:4" s="62" customFormat="1">
      <c r="B92" s="115" t="s">
        <v>52</v>
      </c>
      <c r="C92"/>
      <c r="D92"/>
    </row>
    <row r="93" spans="2:4" s="62" customFormat="1">
      <c r="B93" s="115" t="s">
        <v>160</v>
      </c>
      <c r="C93"/>
      <c r="D93"/>
    </row>
    <row r="94" spans="2:4" s="62" customFormat="1">
      <c r="B94" s="115" t="s">
        <v>161</v>
      </c>
      <c r="C94"/>
      <c r="D94"/>
    </row>
    <row r="95" spans="2:4" s="62" customFormat="1">
      <c r="B95"/>
      <c r="C95"/>
      <c r="D95"/>
    </row>
    <row r="96" spans="2:4">
      <c r="B96"/>
      <c r="C96"/>
      <c r="D96"/>
    </row>
    <row r="97" spans="2:4">
      <c r="B97"/>
      <c r="C97"/>
      <c r="D97"/>
    </row>
    <row r="98" spans="2:4" ht="23">
      <c r="B98" s="113" t="s">
        <v>162</v>
      </c>
      <c r="C98"/>
      <c r="D98"/>
    </row>
    <row r="99" spans="2:4">
      <c r="B99"/>
      <c r="C99"/>
      <c r="D99"/>
    </row>
    <row r="100" spans="2:4" ht="17.5">
      <c r="B100" s="114" t="s">
        <v>18</v>
      </c>
      <c r="C100"/>
      <c r="D100"/>
    </row>
    <row r="101" spans="2:4">
      <c r="B101"/>
      <c r="C101"/>
      <c r="D101"/>
    </row>
    <row r="102" spans="2:4">
      <c r="B102" t="s">
        <v>163</v>
      </c>
      <c r="C102"/>
      <c r="D102"/>
    </row>
    <row r="103" spans="2:4">
      <c r="B103"/>
      <c r="C103"/>
      <c r="D103"/>
    </row>
    <row r="104" spans="2:4" ht="17.5">
      <c r="B104" s="114" t="s">
        <v>47</v>
      </c>
      <c r="C104"/>
      <c r="D104"/>
    </row>
    <row r="105" spans="2:4" s="62" customFormat="1">
      <c r="B105" s="115"/>
      <c r="C105"/>
      <c r="D105"/>
    </row>
    <row r="106" spans="2:4" s="62" customFormat="1">
      <c r="B106" s="115" t="s">
        <v>164</v>
      </c>
      <c r="C106"/>
      <c r="D106"/>
    </row>
    <row r="107" spans="2:4" s="62" customFormat="1">
      <c r="B107" s="115" t="s">
        <v>165</v>
      </c>
      <c r="C107"/>
      <c r="D107"/>
    </row>
    <row r="108" spans="2:4" s="62" customFormat="1">
      <c r="B108" s="115" t="s">
        <v>166</v>
      </c>
      <c r="C108"/>
      <c r="D108"/>
    </row>
    <row r="109" spans="2:4" s="62" customFormat="1">
      <c r="B109" s="115" t="s">
        <v>167</v>
      </c>
      <c r="C109"/>
      <c r="D109"/>
    </row>
    <row r="110" spans="2:4" s="62" customFormat="1">
      <c r="B110" s="115" t="s">
        <v>49</v>
      </c>
      <c r="C110"/>
      <c r="D110"/>
    </row>
    <row r="111" spans="2:4" s="62" customFormat="1">
      <c r="B111" s="115" t="s">
        <v>168</v>
      </c>
      <c r="C111"/>
      <c r="D111"/>
    </row>
    <row r="112" spans="2:4" s="62" customFormat="1">
      <c r="B112"/>
      <c r="C112"/>
      <c r="D112"/>
    </row>
    <row r="113" spans="2:4" s="62" customFormat="1">
      <c r="B113"/>
      <c r="C113"/>
      <c r="D113"/>
    </row>
    <row r="114" spans="2:4">
      <c r="B114"/>
      <c r="C114"/>
      <c r="D114"/>
    </row>
    <row r="115" spans="2:4" ht="23">
      <c r="B115" s="113" t="s">
        <v>169</v>
      </c>
      <c r="C115"/>
      <c r="D115"/>
    </row>
    <row r="116" spans="2:4">
      <c r="B116"/>
      <c r="C116"/>
      <c r="D116"/>
    </row>
    <row r="117" spans="2:4" ht="17.5">
      <c r="B117" s="114" t="s">
        <v>18</v>
      </c>
      <c r="C117"/>
      <c r="D117"/>
    </row>
    <row r="118" spans="2:4">
      <c r="B118"/>
      <c r="C118"/>
      <c r="D118"/>
    </row>
    <row r="119" spans="2:4">
      <c r="B119" t="s">
        <v>170</v>
      </c>
      <c r="C119"/>
      <c r="D119"/>
    </row>
    <row r="120" spans="2:4">
      <c r="B120"/>
      <c r="C120"/>
      <c r="D120"/>
    </row>
    <row r="121" spans="2:4" ht="17.5">
      <c r="B121" s="114" t="s">
        <v>47</v>
      </c>
      <c r="C121"/>
      <c r="D121"/>
    </row>
    <row r="122" spans="2:4">
      <c r="B122" s="115"/>
      <c r="C122"/>
      <c r="D122"/>
    </row>
    <row r="123" spans="2:4" s="62" customFormat="1">
      <c r="B123" s="115" t="s">
        <v>171</v>
      </c>
      <c r="C123"/>
      <c r="D123"/>
    </row>
    <row r="124" spans="2:4" s="62" customFormat="1">
      <c r="B124" s="115" t="s">
        <v>172</v>
      </c>
      <c r="C124"/>
      <c r="D124"/>
    </row>
    <row r="125" spans="2:4" s="62" customFormat="1">
      <c r="B125" s="115" t="s">
        <v>173</v>
      </c>
      <c r="C125"/>
      <c r="D125"/>
    </row>
    <row r="126" spans="2:4" s="62" customFormat="1">
      <c r="B126" s="115" t="s">
        <v>174</v>
      </c>
      <c r="C126"/>
      <c r="D126"/>
    </row>
    <row r="127" spans="2:4" s="62" customFormat="1">
      <c r="B127" s="115" t="s">
        <v>175</v>
      </c>
      <c r="C127"/>
      <c r="D127"/>
    </row>
    <row r="128" spans="2:4" s="62" customFormat="1">
      <c r="B128" s="115" t="s">
        <v>176</v>
      </c>
      <c r="C128"/>
      <c r="D128"/>
    </row>
    <row r="129" spans="2:4" s="62" customFormat="1">
      <c r="B129"/>
      <c r="C129"/>
      <c r="D129"/>
    </row>
    <row r="130" spans="2:4" s="62" customFormat="1">
      <c r="B130"/>
      <c r="C130"/>
      <c r="D130"/>
    </row>
    <row r="131" spans="2:4" s="62" customFormat="1">
      <c r="B131"/>
      <c r="C131"/>
      <c r="D131"/>
    </row>
    <row r="132" spans="2:4" ht="23">
      <c r="B132" s="113" t="s">
        <v>177</v>
      </c>
      <c r="C132"/>
      <c r="D132"/>
    </row>
    <row r="133" spans="2:4">
      <c r="B133"/>
      <c r="C133"/>
      <c r="D133"/>
    </row>
    <row r="134" spans="2:4" ht="17.5">
      <c r="B134" s="114" t="s">
        <v>18</v>
      </c>
      <c r="C134"/>
      <c r="D134"/>
    </row>
    <row r="135" spans="2:4">
      <c r="B135"/>
      <c r="C135"/>
      <c r="D135"/>
    </row>
    <row r="136" spans="2:4">
      <c r="B136" t="s">
        <v>178</v>
      </c>
      <c r="C136"/>
      <c r="D136"/>
    </row>
    <row r="137" spans="2:4">
      <c r="B137"/>
      <c r="C137"/>
      <c r="D137"/>
    </row>
    <row r="138" spans="2:4" ht="17.5">
      <c r="B138" s="114" t="s">
        <v>47</v>
      </c>
      <c r="C138"/>
      <c r="D138"/>
    </row>
    <row r="139" spans="2:4" s="62" customFormat="1">
      <c r="B139" s="115"/>
      <c r="C139"/>
      <c r="D139"/>
    </row>
    <row r="140" spans="2:4" s="62" customFormat="1">
      <c r="B140" s="115" t="s">
        <v>179</v>
      </c>
      <c r="C140"/>
      <c r="D140"/>
    </row>
    <row r="141" spans="2:4" s="62" customFormat="1">
      <c r="B141" s="115" t="s">
        <v>180</v>
      </c>
      <c r="C141"/>
      <c r="D141"/>
    </row>
    <row r="142" spans="2:4" s="62" customFormat="1">
      <c r="B142" s="115" t="s">
        <v>181</v>
      </c>
      <c r="C142"/>
      <c r="D142"/>
    </row>
    <row r="143" spans="2:4" s="62" customFormat="1">
      <c r="B143" s="115" t="s">
        <v>182</v>
      </c>
      <c r="C143"/>
      <c r="D143"/>
    </row>
    <row r="144" spans="2:4" s="62" customFormat="1">
      <c r="B144" s="115" t="s">
        <v>183</v>
      </c>
      <c r="C144"/>
      <c r="D144"/>
    </row>
    <row r="145" spans="2:4" s="62" customFormat="1">
      <c r="B145" s="115" t="s">
        <v>184</v>
      </c>
      <c r="C145"/>
      <c r="D145"/>
    </row>
    <row r="146" spans="2:4" s="62" customFormat="1">
      <c r="B146"/>
      <c r="C146"/>
      <c r="D146"/>
    </row>
    <row r="147" spans="2:4" s="62" customFormat="1">
      <c r="B147"/>
      <c r="C147"/>
      <c r="D147"/>
    </row>
    <row r="148" spans="2:4">
      <c r="B148"/>
      <c r="C148"/>
      <c r="D148"/>
    </row>
    <row r="149" spans="2:4" ht="23">
      <c r="B149" s="113" t="s">
        <v>185</v>
      </c>
      <c r="C149"/>
      <c r="D149"/>
    </row>
    <row r="150" spans="2:4">
      <c r="B150"/>
      <c r="C150"/>
      <c r="D150"/>
    </row>
    <row r="151" spans="2:4" ht="17.5">
      <c r="B151" s="114" t="s">
        <v>18</v>
      </c>
      <c r="C151"/>
      <c r="D151"/>
    </row>
    <row r="152" spans="2:4">
      <c r="B152"/>
      <c r="C152"/>
      <c r="D152"/>
    </row>
    <row r="153" spans="2:4">
      <c r="B153" t="s">
        <v>186</v>
      </c>
      <c r="C153"/>
      <c r="D153"/>
    </row>
    <row r="154" spans="2:4">
      <c r="B154"/>
      <c r="C154"/>
      <c r="D154"/>
    </row>
    <row r="155" spans="2:4" s="62" customFormat="1" ht="17.5">
      <c r="B155" s="114" t="s">
        <v>47</v>
      </c>
      <c r="C155"/>
      <c r="D155"/>
    </row>
    <row r="156" spans="2:4" s="62" customFormat="1">
      <c r="B156" s="115"/>
      <c r="C156"/>
      <c r="D156"/>
    </row>
    <row r="157" spans="2:4" s="62" customFormat="1">
      <c r="B157" s="115" t="s">
        <v>187</v>
      </c>
      <c r="C157"/>
      <c r="D157"/>
    </row>
    <row r="158" spans="2:4" s="62" customFormat="1">
      <c r="B158" s="115" t="s">
        <v>188</v>
      </c>
      <c r="C158"/>
      <c r="D158"/>
    </row>
    <row r="159" spans="2:4" s="62" customFormat="1">
      <c r="B159" s="115" t="s">
        <v>189</v>
      </c>
      <c r="C159"/>
      <c r="D159"/>
    </row>
    <row r="160" spans="2:4" s="62" customFormat="1">
      <c r="B160" s="115" t="s">
        <v>190</v>
      </c>
      <c r="C160"/>
      <c r="D160"/>
    </row>
    <row r="161" spans="2:4" s="62" customFormat="1">
      <c r="B161" s="115" t="s">
        <v>191</v>
      </c>
      <c r="C161"/>
      <c r="D161"/>
    </row>
    <row r="162" spans="2:4" s="62" customFormat="1">
      <c r="B162" s="115" t="s">
        <v>192</v>
      </c>
      <c r="C162"/>
      <c r="D162"/>
    </row>
    <row r="163" spans="2:4" s="62" customFormat="1">
      <c r="B163"/>
      <c r="C163"/>
      <c r="D163"/>
    </row>
    <row r="164" spans="2:4">
      <c r="B164"/>
      <c r="C164"/>
      <c r="D164"/>
    </row>
    <row r="165" spans="2:4">
      <c r="B165"/>
      <c r="C165"/>
      <c r="D165"/>
    </row>
    <row r="166" spans="2:4" ht="30">
      <c r="B166" s="11" t="s">
        <v>193</v>
      </c>
      <c r="C166"/>
      <c r="D166"/>
    </row>
    <row r="167" spans="2:4">
      <c r="B167"/>
      <c r="C167"/>
      <c r="D167"/>
    </row>
    <row r="168" spans="2:4">
      <c r="B168" t="s">
        <v>55</v>
      </c>
      <c r="C168"/>
      <c r="D168"/>
    </row>
    <row r="169" spans="2:4">
      <c r="B169"/>
      <c r="C169"/>
      <c r="D169"/>
    </row>
    <row r="170" spans="2:4">
      <c r="B170" s="95" t="s">
        <v>0</v>
      </c>
      <c r="C170" s="95" t="s">
        <v>3</v>
      </c>
      <c r="D170" s="95" t="s">
        <v>56</v>
      </c>
    </row>
    <row r="171" spans="2:4" s="62" customFormat="1" ht="28">
      <c r="B171" s="119">
        <v>1</v>
      </c>
      <c r="C171" s="116" t="s">
        <v>194</v>
      </c>
      <c r="D171" s="116" t="s">
        <v>195</v>
      </c>
    </row>
    <row r="172" spans="2:4" s="62" customFormat="1" ht="28">
      <c r="B172" s="119">
        <v>2</v>
      </c>
      <c r="C172" s="116" t="s">
        <v>196</v>
      </c>
      <c r="D172" s="116" t="s">
        <v>197</v>
      </c>
    </row>
    <row r="173" spans="2:4" s="62" customFormat="1" ht="42">
      <c r="B173" s="119">
        <v>3</v>
      </c>
      <c r="C173" s="116" t="s">
        <v>198</v>
      </c>
      <c r="D173" s="116" t="s">
        <v>199</v>
      </c>
    </row>
    <row r="174" spans="2:4" s="62" customFormat="1" ht="28">
      <c r="B174" s="119">
        <v>4</v>
      </c>
      <c r="C174" s="116" t="s">
        <v>200</v>
      </c>
      <c r="D174" s="116" t="s">
        <v>201</v>
      </c>
    </row>
    <row r="175" spans="2:4" s="62" customFormat="1" ht="42">
      <c r="B175" s="119">
        <v>5</v>
      </c>
      <c r="C175" s="116" t="s">
        <v>202</v>
      </c>
      <c r="D175" s="116" t="s">
        <v>203</v>
      </c>
    </row>
    <row r="176" spans="2:4" s="62" customFormat="1">
      <c r="B176"/>
      <c r="C176"/>
      <c r="D176"/>
    </row>
    <row r="177" spans="2:4" s="62" customFormat="1">
      <c r="B177"/>
      <c r="C177"/>
      <c r="D177"/>
    </row>
    <row r="178" spans="2:4" s="62" customFormat="1" ht="30">
      <c r="B178" s="11" t="s">
        <v>57</v>
      </c>
      <c r="C178"/>
      <c r="D178"/>
    </row>
    <row r="179" spans="2:4" s="62" customFormat="1">
      <c r="B179"/>
      <c r="C179"/>
      <c r="D179"/>
    </row>
    <row r="180" spans="2:4">
      <c r="B180" t="s">
        <v>58</v>
      </c>
      <c r="C180"/>
      <c r="D180"/>
    </row>
    <row r="181" spans="2:4">
      <c r="B181" s="115"/>
      <c r="C181"/>
      <c r="D181"/>
    </row>
    <row r="182" spans="2:4">
      <c r="B182" s="115" t="s">
        <v>138</v>
      </c>
      <c r="C182"/>
      <c r="D182"/>
    </row>
    <row r="183" spans="2:4">
      <c r="B183" s="115" t="s">
        <v>139</v>
      </c>
      <c r="C183"/>
      <c r="D183"/>
    </row>
    <row r="184" spans="2:4">
      <c r="B184" s="115" t="s">
        <v>204</v>
      </c>
      <c r="C184"/>
      <c r="D184"/>
    </row>
    <row r="185" spans="2:4">
      <c r="B185" s="115" t="s">
        <v>142</v>
      </c>
      <c r="C185"/>
      <c r="D185"/>
    </row>
    <row r="186" spans="2:4">
      <c r="B186" s="115" t="s">
        <v>144</v>
      </c>
      <c r="C186"/>
      <c r="D186"/>
    </row>
    <row r="187" spans="2:4">
      <c r="B187" s="115" t="s">
        <v>41</v>
      </c>
      <c r="C187"/>
      <c r="D187"/>
    </row>
    <row r="188" spans="2:4">
      <c r="B188" s="115" t="s">
        <v>141</v>
      </c>
      <c r="C188"/>
      <c r="D188"/>
    </row>
    <row r="189" spans="2:4">
      <c r="B189" s="115" t="s">
        <v>140</v>
      </c>
      <c r="C189"/>
      <c r="D189"/>
    </row>
    <row r="190" spans="2:4">
      <c r="B190" s="115" t="s">
        <v>59</v>
      </c>
      <c r="C190"/>
      <c r="D190"/>
    </row>
    <row r="191" spans="2:4">
      <c r="B191" s="115" t="s">
        <v>45</v>
      </c>
      <c r="C191"/>
      <c r="D191"/>
    </row>
    <row r="192" spans="2:4">
      <c r="B192" s="115" t="s">
        <v>145</v>
      </c>
      <c r="C192"/>
      <c r="D192"/>
    </row>
    <row r="193" spans="2:4">
      <c r="B193" s="115" t="s">
        <v>60</v>
      </c>
      <c r="C193"/>
      <c r="D193"/>
    </row>
    <row r="194" spans="2:4">
      <c r="B194"/>
      <c r="C194"/>
      <c r="D194"/>
    </row>
    <row r="195" spans="2:4">
      <c r="B195"/>
      <c r="C195"/>
      <c r="D195"/>
    </row>
    <row r="196" spans="2:4">
      <c r="B196"/>
      <c r="C196"/>
      <c r="D196"/>
    </row>
    <row r="197" spans="2:4" s="62" customFormat="1" ht="30">
      <c r="B197" s="11" t="s">
        <v>61</v>
      </c>
      <c r="C197"/>
      <c r="D197"/>
    </row>
    <row r="198" spans="2:4" s="62" customFormat="1">
      <c r="B198"/>
      <c r="C198"/>
      <c r="D198"/>
    </row>
    <row r="199" spans="2:4" s="62" customFormat="1">
      <c r="B199" t="s">
        <v>205</v>
      </c>
      <c r="C199"/>
      <c r="D199"/>
    </row>
    <row r="200" spans="2:4" s="62" customFormat="1">
      <c r="B200"/>
      <c r="C200"/>
      <c r="D200"/>
    </row>
    <row r="201" spans="2:4" s="62" customFormat="1">
      <c r="B201" t="s">
        <v>206</v>
      </c>
      <c r="C201"/>
      <c r="D201"/>
    </row>
    <row r="202" spans="2:4" s="62" customFormat="1">
      <c r="B202" s="63"/>
      <c r="C202" s="1"/>
      <c r="D202" s="1"/>
    </row>
    <row r="203" spans="2:4" s="62" customFormat="1" ht="15.5">
      <c r="B203" s="64" t="s">
        <v>50</v>
      </c>
      <c r="C203" s="1"/>
      <c r="D203" s="1"/>
    </row>
    <row r="204" spans="2:4" s="62" customFormat="1">
      <c r="B204" s="63"/>
      <c r="C204" s="1"/>
      <c r="D204" s="1"/>
    </row>
    <row r="205" spans="2:4" s="62" customFormat="1" ht="15.5">
      <c r="B205" s="64" t="s">
        <v>51</v>
      </c>
      <c r="C205" s="1"/>
      <c r="D205" s="1"/>
    </row>
    <row r="206" spans="2:4" s="62" customFormat="1">
      <c r="B206" s="63"/>
      <c r="C206" s="1"/>
      <c r="D206" s="1"/>
    </row>
    <row r="207" spans="2:4" s="62" customFormat="1" ht="15.5">
      <c r="B207" s="64" t="s">
        <v>52</v>
      </c>
      <c r="C207" s="1"/>
      <c r="D207" s="1"/>
    </row>
    <row r="208" spans="2:4" s="62" customFormat="1">
      <c r="B208" s="63"/>
      <c r="C208" s="1"/>
      <c r="D208" s="1"/>
    </row>
    <row r="209" spans="2:4" s="62" customFormat="1" ht="15.5">
      <c r="B209" s="64" t="s">
        <v>53</v>
      </c>
      <c r="C209" s="1"/>
      <c r="D209" s="1"/>
    </row>
    <row r="210" spans="2:4" s="62" customFormat="1">
      <c r="B210" s="1"/>
      <c r="C210" s="1"/>
      <c r="D210" s="1"/>
    </row>
    <row r="211" spans="2:4" s="62" customFormat="1">
      <c r="B211" s="1"/>
      <c r="C211" s="1"/>
      <c r="D211" s="1"/>
    </row>
    <row r="212" spans="2:4" s="62" customFormat="1">
      <c r="B212" s="1"/>
      <c r="C212" s="1"/>
      <c r="D212" s="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68D118-F488-4940-8DB9-7183AFF0CC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Agentic Delivery Assessment</vt:lpstr>
      <vt:lpstr>Agentic Delivery Maturity Matri</vt:lpstr>
      <vt:lpstr>Agentic Delivery Scoring Engine</vt:lpstr>
      <vt:lpstr>Agentic Delivery Heatmap</vt:lpstr>
      <vt:lpstr>Drop-Down Keys - Do Not Delete</vt:lpstr>
      <vt:lpstr>Agentic Delivery Dashboard</vt:lpstr>
      <vt:lpstr>Agentic Delivery Roadmap</vt:lpstr>
      <vt:lpstr>Agentic Delivery Executive Repo</vt:lpstr>
      <vt:lpstr>Domain Recommendation Library</vt:lpstr>
      <vt:lpstr>Agentic Delivery Framework Gui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 Hesse</cp:lastModifiedBy>
  <dcterms:created xsi:type="dcterms:W3CDTF">2026-06-04T10:45:59Z</dcterms:created>
  <dcterms:modified xsi:type="dcterms:W3CDTF">2026-06-12T05:35:47Z</dcterms:modified>
</cp:coreProperties>
</file>