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ina Hesse\Downloads\"/>
    </mc:Choice>
  </mc:AlternateContent>
  <xr:revisionPtr revIDLastSave="0" documentId="13_ncr:1_{AA5EBDFD-E471-4FE4-83C5-80A112FEFF42}" xr6:coauthVersionLast="47" xr6:coauthVersionMax="47" xr10:uidLastSave="{00000000-0000-0000-0000-000000000000}"/>
  <bookViews>
    <workbookView xWindow="-110" yWindow="-110" windowWidth="19420" windowHeight="10300" firstSheet="3" activeTab="5" xr2:uid="{00000000-000D-0000-FFFF-FFFF00000000}"/>
  </bookViews>
  <sheets>
    <sheet name="AI Readiness Assessment" sheetId="1" r:id="rId1"/>
    <sheet name="AI Maturity Matrix" sheetId="2" r:id="rId2"/>
    <sheet name="Scoring Engine" sheetId="3" r:id="rId3"/>
    <sheet name="Readiness Heatmap" sheetId="4" r:id="rId4"/>
    <sheet name="Drop-Down Keys - Do Not Delete" sheetId="10" state="hidden" r:id="rId5"/>
    <sheet name="Executive Dashboard" sheetId="6" r:id="rId6"/>
    <sheet name="Improvement Roadmap" sheetId="7" r:id="rId7"/>
    <sheet name="Executive Summary" sheetId="8" r:id="rId8"/>
    <sheet name="Domain Recommendation Library" sheetId="11" r:id="rId9"/>
    <sheet name="Help Guide" sheetId="9" r:id="rId10"/>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6" l="1"/>
  <c r="B5" i="6"/>
  <c r="F4" i="6"/>
  <c r="D3" i="6"/>
  <c r="D54" i="7"/>
  <c r="D53" i="7"/>
  <c r="D39" i="7"/>
  <c r="D38" i="7"/>
  <c r="D26" i="7"/>
  <c r="D25" i="7"/>
  <c r="C53" i="7"/>
  <c r="E53" i="7"/>
  <c r="C54" i="7"/>
  <c r="E54" i="7"/>
  <c r="E52" i="7"/>
  <c r="C52" i="7"/>
  <c r="D52" i="7"/>
  <c r="C38" i="7"/>
  <c r="E38" i="7"/>
  <c r="C39" i="7"/>
  <c r="E39" i="7"/>
  <c r="E37" i="7"/>
  <c r="C37" i="7"/>
  <c r="D37" i="7"/>
  <c r="C25" i="7"/>
  <c r="E25" i="7"/>
  <c r="C26" i="7"/>
  <c r="E26" i="7"/>
  <c r="E24" i="7"/>
  <c r="C24" i="7"/>
  <c r="D24" i="7"/>
  <c r="C9" i="6"/>
  <c r="C10" i="6"/>
  <c r="C11" i="6"/>
  <c r="C12" i="6"/>
  <c r="C13" i="6"/>
  <c r="C14" i="6"/>
  <c r="C15" i="6"/>
  <c r="C16" i="6"/>
  <c r="C17" i="6"/>
  <c r="C8" i="6"/>
  <c r="B9" i="6"/>
  <c r="B10" i="6"/>
  <c r="B11" i="6"/>
  <c r="B12" i="6"/>
  <c r="B13" i="6"/>
  <c r="B14" i="6"/>
  <c r="B15" i="6"/>
  <c r="B16" i="6"/>
  <c r="B17" i="6"/>
  <c r="B8" i="6"/>
  <c r="C12" i="7"/>
  <c r="D8" i="1"/>
  <c r="B4" i="3"/>
  <c r="F53" i="7"/>
  <c r="F54" i="7"/>
  <c r="F52" i="7"/>
  <c r="F25" i="7"/>
  <c r="F26" i="7"/>
  <c r="F24" i="7"/>
  <c r="F38" i="7"/>
  <c r="F39" i="7"/>
  <c r="F37" i="7"/>
  <c r="B14" i="3"/>
  <c r="A29" i="8"/>
  <c r="A23" i="8"/>
  <c r="B18" i="8"/>
  <c r="B20" i="8"/>
  <c r="B19" i="8"/>
  <c r="A20" i="8"/>
  <c r="A19" i="8"/>
  <c r="A18" i="8"/>
  <c r="B16" i="3"/>
  <c r="C14" i="8"/>
  <c r="B17" i="3"/>
  <c r="C13" i="8"/>
  <c r="C3" i="4"/>
  <c r="C4" i="4"/>
  <c r="C5" i="4"/>
  <c r="C6" i="4"/>
  <c r="C7" i="4"/>
  <c r="C8" i="4"/>
  <c r="C9" i="4"/>
  <c r="C10" i="4"/>
  <c r="C11" i="4"/>
  <c r="D3" i="4"/>
  <c r="D4" i="4"/>
  <c r="D5" i="4"/>
  <c r="D6" i="4"/>
  <c r="D7" i="4"/>
  <c r="D8" i="4"/>
  <c r="D9" i="4"/>
  <c r="D10" i="4"/>
  <c r="D11" i="4"/>
  <c r="B2" i="4"/>
  <c r="D2" i="4"/>
  <c r="C2" i="4"/>
  <c r="B15" i="3"/>
  <c r="C12" i="8"/>
  <c r="C11" i="8"/>
  <c r="B4" i="8"/>
  <c r="B5" i="8"/>
  <c r="D73" i="1"/>
  <c r="D74" i="1"/>
  <c r="D75" i="1"/>
  <c r="D76" i="1"/>
  <c r="D78" i="1"/>
  <c r="D77" i="1"/>
  <c r="B11" i="3"/>
  <c r="D79" i="1"/>
  <c r="D80" i="1"/>
  <c r="D81" i="1"/>
  <c r="D82" i="1"/>
  <c r="D84" i="1"/>
  <c r="D83" i="1"/>
  <c r="B12" i="3"/>
  <c r="D85" i="1"/>
  <c r="D86" i="1"/>
  <c r="D87" i="1"/>
  <c r="D88" i="1"/>
  <c r="D89" i="1"/>
  <c r="B13" i="3"/>
  <c r="D9" i="1"/>
  <c r="D10" i="1"/>
  <c r="D11" i="1"/>
  <c r="D14" i="1"/>
  <c r="D13" i="1"/>
  <c r="D12" i="1"/>
  <c r="D15" i="1"/>
  <c r="D16" i="1"/>
  <c r="D17" i="1"/>
  <c r="D18" i="1"/>
  <c r="D22" i="1"/>
  <c r="D21" i="1"/>
  <c r="D20" i="1"/>
  <c r="D19" i="1"/>
  <c r="B5" i="3"/>
  <c r="D23" i="1"/>
  <c r="D24" i="1"/>
  <c r="D25" i="1"/>
  <c r="D26" i="1"/>
  <c r="D30" i="1"/>
  <c r="D29" i="1"/>
  <c r="D28" i="1"/>
  <c r="D27" i="1"/>
  <c r="B6" i="3"/>
  <c r="D31" i="1"/>
  <c r="D32" i="1"/>
  <c r="D33" i="1"/>
  <c r="D34" i="1"/>
  <c r="D42" i="1"/>
  <c r="D41" i="1"/>
  <c r="D40" i="1"/>
  <c r="D39" i="1"/>
  <c r="D38" i="1"/>
  <c r="D37" i="1"/>
  <c r="D36" i="1"/>
  <c r="D35" i="1"/>
  <c r="B7" i="3"/>
  <c r="D62" i="1"/>
  <c r="D63" i="1"/>
  <c r="D64" i="1"/>
  <c r="D65" i="1"/>
  <c r="D72" i="1"/>
  <c r="D71" i="1"/>
  <c r="D70" i="1"/>
  <c r="D69" i="1"/>
  <c r="D68" i="1"/>
  <c r="D67" i="1"/>
  <c r="D66" i="1"/>
  <c r="B10" i="3"/>
  <c r="D51" i="1"/>
  <c r="D52" i="1"/>
  <c r="D53" i="1"/>
  <c r="D54" i="1"/>
  <c r="D61" i="1"/>
  <c r="D60" i="1"/>
  <c r="D59" i="1"/>
  <c r="D58" i="1"/>
  <c r="D57" i="1"/>
  <c r="D56" i="1"/>
  <c r="D55" i="1"/>
  <c r="B9" i="3"/>
  <c r="D43" i="1"/>
  <c r="D44" i="1"/>
  <c r="D45" i="1"/>
  <c r="D46" i="1"/>
  <c r="D50" i="1"/>
  <c r="D49" i="1"/>
  <c r="D48" i="1"/>
  <c r="D47" i="1"/>
  <c r="B8" i="3"/>
  <c r="B19" i="3" a="1"/>
  <c r="B19" i="3"/>
  <c r="D5" i="7"/>
  <c r="D6" i="7"/>
  <c r="D7" i="7"/>
  <c r="B18" i="3"/>
  <c r="D8" i="7"/>
  <c r="D9" i="7"/>
  <c r="B4" i="4"/>
  <c r="B5" i="4"/>
  <c r="B6" i="4"/>
  <c r="B7" i="4"/>
  <c r="B8" i="4"/>
  <c r="B9" i="4"/>
  <c r="B10" i="4"/>
  <c r="B11" i="4"/>
  <c r="B3" i="4"/>
  <c r="B4" i="6"/>
  <c r="D4" i="6"/>
  <c r="B3" i="6"/>
  <c r="B2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<sst xmlns="http://schemas.openxmlformats.org/spreadsheetml/2006/main" count="452" uniqueCount="350">
  <si>
    <t>Score</t>
  </si>
  <si>
    <t>Initial</t>
  </si>
  <si>
    <t>Emerging</t>
  </si>
  <si>
    <t>Developing</t>
  </si>
  <si>
    <t>Established</t>
  </si>
  <si>
    <t>Optimised</t>
  </si>
  <si>
    <t>Dimension</t>
  </si>
  <si>
    <t>Status</t>
  </si>
  <si>
    <t>Maturity Level</t>
  </si>
  <si>
    <t>Overall Readiness Score</t>
  </si>
  <si>
    <t>Current Maturity Level</t>
  </si>
  <si>
    <t>Readiness Heatmap</t>
  </si>
  <si>
    <t>Maturity Matrix</t>
  </si>
  <si>
    <t>Executive Dashboard | AI Readiness Assessment Workbook™</t>
  </si>
  <si>
    <t>Highest Scoring Dimension</t>
  </si>
  <si>
    <t>Lowest Scoring Dimension</t>
  </si>
  <si>
    <t>Risk Indicator</t>
  </si>
  <si>
    <t>Priority Recommendation</t>
  </si>
  <si>
    <t>Improvement Roadmap</t>
  </si>
  <si>
    <t>Immediate Priorities (0–3 Months)</t>
  </si>
  <si>
    <t>Medium-Term Priorities (3–6 Months)</t>
  </si>
  <si>
    <t>Consulting Executive Assessment Report</t>
  </si>
  <si>
    <t>Organisation Name</t>
  </si>
  <si>
    <t>Assessment Date</t>
  </si>
  <si>
    <t>Top 3 Strengths</t>
  </si>
  <si>
    <t>Top 3 Improvement Areas</t>
  </si>
  <si>
    <t>Executive Recommendation</t>
  </si>
  <si>
    <t>Roadmap Summary</t>
  </si>
  <si>
    <t>Purpose</t>
  </si>
  <si>
    <t>AI READINESS ASSESSMENT QUESTIONNAIRE</t>
  </si>
  <si>
    <t>ASSESSMENT INSTRUCTIONS
For each assessment statement, select the readiness score that best reflects your organisation's current level of capability.
Score each question using the readiness scale below.
Select the score that most accurately represents current practice rather than future aspirations.
Where evidence is limited, choose the lower score.
AI READINESS SCORING MODEL
Score	          Maturity Level	                          Description
1	                 Initial	                                    Limited awareness and ad hoc activities. AI capabilities are largely undefined and unmanaged.
2	                 Emerging	                             Early planning and isolated initiatives. AI activities are beginning to develop but remain inconsistent.
3	                 Developing	                         Defined capabilities with growing adoption. Formal processes exist and adoption is increasing.
4	                 Established	                          Consistent practices and measurable outcomes. AI capabilities are integrated into business operations.
5	                 Optimised	                           Enterprise-wide capability with continuous improvement. AI is embedded strategically and delivers measurable value at scale.</t>
  </si>
  <si>
    <t>Business Unit</t>
  </si>
  <si>
    <t>Assessment Lead</t>
  </si>
  <si>
    <t>Executive Sponsor</t>
  </si>
  <si>
    <t>CHOSEN 
LEVEL</t>
  </si>
  <si>
    <t>STRATEGY &amp; VISION</t>
  </si>
  <si>
    <t>A documented AI strategy exists and is approved by leadership.</t>
  </si>
  <si>
    <t>AI objectives are aligned with business priorities and strategic outcomes.</t>
  </si>
  <si>
    <t>Executive sponsorship for AI initiatives is clearly established.</t>
  </si>
  <si>
    <t>Funding and investment for AI initiatives are formally allocated.</t>
  </si>
  <si>
    <t>AI success measures and KPIs are clearly defined.</t>
  </si>
  <si>
    <t>A roadmap exists for enterprise AI adoption and scaling.</t>
  </si>
  <si>
    <t>AI opportunities are regularly identified and prioritised.</t>
  </si>
  <si>
    <t xml:space="preserve">
LEADERSHIP &amp; CULTURE</t>
  </si>
  <si>
    <t>Senior leaders actively promote AI adoption across the organisation.</t>
  </si>
  <si>
    <t>AI is recognised as a strategic organisational capability.</t>
  </si>
  <si>
    <t>The organisation encourages innovation and experimentation with AI.</t>
  </si>
  <si>
    <t>Employees understand the purpose and benefits of AI initiatives.</t>
  </si>
  <si>
    <t>Change management activities support AI adoption.</t>
  </si>
  <si>
    <t>Leadership effectively communicates AI priorities and objectives.</t>
  </si>
  <si>
    <t>Resistance to AI adoption is proactively managed.</t>
  </si>
  <si>
    <t>Cross-functional collaboration supports AI-enabled transformation.</t>
  </si>
  <si>
    <t xml:space="preserve">
WORKFORCE &amp; SKILLS</t>
  </si>
  <si>
    <t>Employees possess an appropriate level of AI literacy.</t>
  </si>
  <si>
    <t>AI training programmes are available to employees.</t>
  </si>
  <si>
    <t>Specialist AI skills exist within the organisation.</t>
  </si>
  <si>
    <t>Skills gaps relating to AI are regularly assessed.</t>
  </si>
  <si>
    <t>AI learning pathways and development plans are established.</t>
  </si>
  <si>
    <t>AI champions are identified across business functions.</t>
  </si>
  <si>
    <t>Communities of practice support AI knowledge sharing.</t>
  </si>
  <si>
    <t>Recruitment plans support future AI capability growth.</t>
  </si>
  <si>
    <t xml:space="preserve">
DATA READINESS</t>
  </si>
  <si>
    <t>Critical business data is readily accessible.</t>
  </si>
  <si>
    <t>Data ownership and accountability are clearly defined.</t>
  </si>
  <si>
    <t>Data quality is measured and monitored.</t>
  </si>
  <si>
    <t>Data governance processes are established.</t>
  </si>
  <si>
    <t>Data privacy controls are implemented and enforced.</t>
  </si>
  <si>
    <t>Data lineage and traceability capabilities are available.</t>
  </si>
  <si>
    <t>Structured and unstructured data support AI use cases.</t>
  </si>
  <si>
    <t>Enterprise data standards are consistently applied.</t>
  </si>
  <si>
    <t>Metadata management capabilities are established.</t>
  </si>
  <si>
    <t>Data platforms adequately support AI initiatives.</t>
  </si>
  <si>
    <t>Data required for AI initiatives is discoverable through a catalogue or inventory.</t>
  </si>
  <si>
    <t>Sensitive data is appropriately classified for AI use.</t>
  </si>
  <si>
    <t xml:space="preserve">
PROCESS &amp; OPERATING MODEL</t>
  </si>
  <si>
    <t>AI governance processes are documented and understood.</t>
  </si>
  <si>
    <t>AI decision-making responsibilities are clearly defined.</t>
  </si>
  <si>
    <t>AI use case approval processes are established.</t>
  </si>
  <si>
    <t>AI operating procedures are standardised.</t>
  </si>
  <si>
    <t>AI initiatives are integrated into business planning processes.</t>
  </si>
  <si>
    <t>Benefits realisation processes are established.</t>
  </si>
  <si>
    <t>AI performance metrics are regularly reviewed.</t>
  </si>
  <si>
    <t>AI services can be scaled across the organisation.</t>
  </si>
  <si>
    <t xml:space="preserve">
TECHNOLOGY &amp; ARCHITECTURE</t>
  </si>
  <si>
    <t>Technology infrastructure supports AI workloads.</t>
  </si>
  <si>
    <t>Cloud capabilities support AI deployment and scaling.</t>
  </si>
  <si>
    <t>AI development platforms and tools are available.</t>
  </si>
  <si>
    <t>Systems integration supports AI-enabled processes.</t>
  </si>
  <si>
    <t>AI environments are scalable, resilient, and secure.</t>
  </si>
  <si>
    <t>MLOps capabilities exist to support model deployment and monitoring.</t>
  </si>
  <si>
    <t>Monitoring and observability capabilities are implemented.</t>
  </si>
  <si>
    <t>Enterprise architecture supports AI expansion.</t>
  </si>
  <si>
    <t>Generative AI platforms are available for business use.</t>
  </si>
  <si>
    <t>AI solutions can be monitored in production environments.</t>
  </si>
  <si>
    <t>AI models can be retrained and improved efficiently.</t>
  </si>
  <si>
    <t xml:space="preserve">
GOVERNANCE &amp; RESPONSIBLE AI</t>
  </si>
  <si>
    <t>AI policies and standards are established.</t>
  </si>
  <si>
    <t>Roles and responsibilities for AI governance are clearly defined.</t>
  </si>
  <si>
    <t>Responsible AI principles are documented and communicated.</t>
  </si>
  <si>
    <t>Model bias and fairness assessments are conducted.</t>
  </si>
  <si>
    <t>Human oversight mechanisms are established.</t>
  </si>
  <si>
    <t>AI risk management processes are implemented.</t>
  </si>
  <si>
    <t>AI decisions are explainable and auditable.</t>
  </si>
  <si>
    <t>Executive oversight of AI initiatives is in place.</t>
  </si>
  <si>
    <t>AI models undergo formal validation before deployment.</t>
  </si>
  <si>
    <t>AI ethics requirements are incorporated into governance processes.</t>
  </si>
  <si>
    <t>AI-generated outputs are subject to appropriate review and oversight.</t>
  </si>
  <si>
    <t xml:space="preserve">
SECURITY &amp; COMPLIANCE</t>
  </si>
  <si>
    <t>AI-related security controls are implemented.</t>
  </si>
  <si>
    <t>Access management controls protect AI systems and data.</t>
  </si>
  <si>
    <t>Regulatory obligations relating to AI are understood.</t>
  </si>
  <si>
    <t>Privacy impact assessments are conducted where required.</t>
  </si>
  <si>
    <t>Compliance reviews are regularly performed.</t>
  </si>
  <si>
    <t>AI risks are monitored and reported appropriately.</t>
  </si>
  <si>
    <t xml:space="preserve">
USE CASE &amp; VALUE MANAGEMENT</t>
  </si>
  <si>
    <t>AI use cases are actively identified and assessed.</t>
  </si>
  <si>
    <t>AI use cases are prioritised based on business value.</t>
  </si>
  <si>
    <t>Business cases are developed for AI investments.</t>
  </si>
  <si>
    <t>Expected benefits are quantified before implementation.</t>
  </si>
  <si>
    <t>Value realised from AI initiatives is measured and tracked.</t>
  </si>
  <si>
    <t>Lessons learned are incorporated into future AI initiatives.</t>
  </si>
  <si>
    <t xml:space="preserve">
VENDOR &amp; ECOSYSTEM READINESS</t>
  </si>
  <si>
    <t>Strategic AI technology partners have been identified.</t>
  </si>
  <si>
    <t>Vendor governance processes are established.</t>
  </si>
  <si>
    <t>Third-party AI risks are assessed and managed.</t>
  </si>
  <si>
    <t>Procurement processes support AI acquisition and deployment.</t>
  </si>
  <si>
    <t>External AI expertise is available when required.</t>
  </si>
  <si>
    <r>
      <t xml:space="preserve">– </t>
    </r>
    <r>
      <rPr>
        <sz val="14"/>
        <color theme="1"/>
        <rFont val="Century Gothic"/>
        <family val="1"/>
      </rPr>
      <t>1</t>
    </r>
    <r>
      <rPr>
        <sz val="14"/>
        <color theme="0" tint="-0.34998626667073579"/>
        <rFont val="Century Gothic"/>
        <family val="1"/>
      </rPr>
      <t xml:space="preserve"> –</t>
    </r>
  </si>
  <si>
    <r>
      <t xml:space="preserve">– </t>
    </r>
    <r>
      <rPr>
        <sz val="14"/>
        <color theme="1"/>
        <rFont val="Century Gothic"/>
        <family val="1"/>
      </rPr>
      <t>2</t>
    </r>
    <r>
      <rPr>
        <sz val="14"/>
        <color theme="0" tint="-0.34998626667073579"/>
        <rFont val="Century Gothic"/>
        <family val="1"/>
      </rPr>
      <t xml:space="preserve"> –</t>
    </r>
  </si>
  <si>
    <r>
      <t xml:space="preserve">– </t>
    </r>
    <r>
      <rPr>
        <sz val="14"/>
        <color theme="1"/>
        <rFont val="Century Gothic"/>
        <family val="1"/>
      </rPr>
      <t>3</t>
    </r>
    <r>
      <rPr>
        <sz val="14"/>
        <color theme="0" tint="-0.34998626667073579"/>
        <rFont val="Century Gothic"/>
        <family val="1"/>
      </rPr>
      <t xml:space="preserve"> –</t>
    </r>
  </si>
  <si>
    <r>
      <t xml:space="preserve">– </t>
    </r>
    <r>
      <rPr>
        <sz val="14"/>
        <color theme="1"/>
        <rFont val="Century Gothic"/>
        <family val="1"/>
      </rPr>
      <t>4</t>
    </r>
    <r>
      <rPr>
        <sz val="14"/>
        <color theme="0" tint="-0.34998626667073579"/>
        <rFont val="Century Gothic"/>
        <family val="1"/>
      </rPr>
      <t xml:space="preserve"> –</t>
    </r>
  </si>
  <si>
    <r>
      <t xml:space="preserve">– </t>
    </r>
    <r>
      <rPr>
        <sz val="14"/>
        <color theme="1"/>
        <rFont val="Century Gothic"/>
        <family val="1"/>
      </rPr>
      <t>5</t>
    </r>
    <r>
      <rPr>
        <sz val="14"/>
        <color theme="0" tint="-0.34998626667073579"/>
        <rFont val="Century Gothic"/>
        <family val="1"/>
      </rPr>
      <t xml:space="preserve"> –</t>
    </r>
  </si>
  <si>
    <t>Domain</t>
  </si>
  <si>
    <t>Initial (1)</t>
  </si>
  <si>
    <t>Emerging (2)</t>
  </si>
  <si>
    <t>Developing (3)</t>
  </si>
  <si>
    <t>Established (4)</t>
  </si>
  <si>
    <t>Optimised (5)</t>
  </si>
  <si>
    <t>Strategy &amp; Vision</t>
  </si>
  <si>
    <t>No formal AI strategy exists.</t>
  </si>
  <si>
    <t>AI opportunities are being explored and discussed.</t>
  </si>
  <si>
    <t>AI strategy has been drafted and partially aligned to business objectives.</t>
  </si>
  <si>
    <t>AI strategy is approved, funded and communicated.</t>
  </si>
  <si>
    <t>AI strategy is embedded into enterprise planning and continuously refined.</t>
  </si>
  <si>
    <t>Leadership &amp; Culture</t>
  </si>
  <si>
    <t>Leadership awareness of AI is limited.</t>
  </si>
  <si>
    <t>Individual leaders support AI initiatives.</t>
  </si>
  <si>
    <t>Leadership engagement is growing across business functions.</t>
  </si>
  <si>
    <t>Active executive sponsorship and change leadership are in place.</t>
  </si>
  <si>
    <t>AI-driven culture is embedded throughout the organisation.</t>
  </si>
  <si>
    <t>Workforce &amp; Skills</t>
  </si>
  <si>
    <t>Limited AI skills and awareness exist.</t>
  </si>
  <si>
    <t>Ad hoc AI training is available.</t>
  </si>
  <si>
    <t>Structured AI training and capability development programmes exist.</t>
  </si>
  <si>
    <t>AI capability development is actively managed and measured.</t>
  </si>
  <si>
    <t>Continuous AI learning and advanced expertise are embedded across the workforce.</t>
  </si>
  <si>
    <t>Data Readiness</t>
  </si>
  <si>
    <t>Data quality and accessibility issues significantly limit AI adoption.</t>
  </si>
  <si>
    <t>Data improvement initiatives are underway.</t>
  </si>
  <si>
    <t>Data governance and quality management practices are emerging.</t>
  </si>
  <si>
    <t>Data is managed consistently and supports AI initiatives.</t>
  </si>
  <si>
    <t>Data is treated as a strategic enterprise asset enabling AI at scale.</t>
  </si>
  <si>
    <t>Process &amp; Operating Model</t>
  </si>
  <si>
    <t>AI processes and responsibilities are undefined.</t>
  </si>
  <si>
    <t>Initial governance and operating processes are being developed.</t>
  </si>
  <si>
    <t>Defined processes support AI initiatives in key areas.</t>
  </si>
  <si>
    <t>Standardised operating model supports AI delivery across the organisation.</t>
  </si>
  <si>
    <t>AI is fully integrated into business operations and decision-making processes.</t>
  </si>
  <si>
    <t>Technology &amp; Architecture</t>
  </si>
  <si>
    <t>Technology landscape is not prepared for AI workloads.</t>
  </si>
  <si>
    <t>Early AI experimentation is supported by limited technology capabilities.</t>
  </si>
  <si>
    <t>AI platforms and supporting technologies have been introduced.</t>
  </si>
  <si>
    <t>Scalable and secure AI architecture is established.</t>
  </si>
  <si>
    <t>Enterprise-wide AI platform enables innovation, automation and continuous optimisation.</t>
  </si>
  <si>
    <t>Governance &amp; Responsible AI</t>
  </si>
  <si>
    <t>No formal AI governance or oversight exists.</t>
  </si>
  <si>
    <t>Initial governance discussions and responsibilities have been identified.</t>
  </si>
  <si>
    <t>Governance processes and responsible AI controls are being established.</t>
  </si>
  <si>
    <t>Formal governance framework and oversight mechanisms are operational.</t>
  </si>
  <si>
    <t>Responsible AI is embedded throughout the AI lifecycle and continuously monitored.</t>
  </si>
  <si>
    <t>Security &amp; Compliance</t>
  </si>
  <si>
    <t>AI-related security and compliance controls are largely absent.</t>
  </si>
  <si>
    <t>Initial security and compliance requirements have been identified.</t>
  </si>
  <si>
    <t>Security and compliance controls are being implemented.</t>
  </si>
  <si>
    <t>Security, privacy and compliance controls are consistently applied.</t>
  </si>
  <si>
    <t>AI risk, security and compliance are proactively managed and continuously improved.</t>
  </si>
  <si>
    <t>Use Case &amp; Value Management</t>
  </si>
  <si>
    <t>AI opportunities are identified on an ad hoc basis.</t>
  </si>
  <si>
    <t>Initial use cases and pilots are being explored.</t>
  </si>
  <si>
    <t>AI use cases are prioritised and business cases are developed.</t>
  </si>
  <si>
    <t>Benefits and outcomes are measured and managed.</t>
  </si>
  <si>
    <t>AI portfolio management and value realisation are embedded across the enterprise.</t>
  </si>
  <si>
    <t>Vendor &amp; Ecosystem Readiness</t>
  </si>
  <si>
    <t>No formal AI vendor or partner strategy exists.</t>
  </si>
  <si>
    <t>Initial vendor relationships are being explored.</t>
  </si>
  <si>
    <t>Strategic partners have been identified and engaged.</t>
  </si>
  <si>
    <t>Vendor governance and ecosystem management processes are established.</t>
  </si>
  <si>
    <t>A mature AI ecosystem accelerates innovation, capability and business value.</t>
  </si>
  <si>
    <t>AI Readiness Scoring Engine</t>
  </si>
  <si>
    <t>Overall AI Readiness Score</t>
  </si>
  <si>
    <t>AI Maturity Level</t>
  </si>
  <si>
    <t>Risk Rating</t>
  </si>
  <si>
    <t>AI Readiness Index (/100)</t>
  </si>
  <si>
    <t>Assessment Status</t>
  </si>
  <si>
    <t>AI READINESS ASSESSMENT WORKBOOK™</t>
  </si>
  <si>
    <t>Instructions &amp; Assessment Guide</t>
  </si>
  <si>
    <t>The AI Readiness Assessment is designed to help organisations evaluate their preparedness for the successful adoption, governance, and scaling of Artificial Intelligence (AI) capabilities across the enterprise.</t>
  </si>
  <si>
    <t>As organisations increasingly seek to leverage AI to improve operational efficiency, enhance decision-making, accelerate innovation, and create competitive advantage, it is essential to understand current readiness levels and identify capability gaps that may hinder successful implementation.</t>
  </si>
  <si>
    <t>This assessment provides a structured framework to evaluate key dimensions of AI readiness, enabling leaders to benchmark current capabilities, prioritise improvement initiatives, and develop a practical roadmap for enterprise AI adoption.</t>
  </si>
  <si>
    <t>The assessment includes a scoring methodology that measures maturity across multiple dimensions and generates actionable insights, recommendations, and improvement priorities.</t>
  </si>
  <si>
    <t>How to Use This Workbook</t>
  </si>
  <si>
    <t>Step 1 – Complete the Assessment Questionnaire</t>
  </si>
  <si>
    <r>
      <t xml:space="preserve">Navigate to the </t>
    </r>
    <r>
      <rPr>
        <b/>
        <sz val="12"/>
        <color rgb="FF000000"/>
        <rFont val="Calibri"/>
        <family val="2"/>
        <scheme val="minor"/>
      </rPr>
      <t>Assessment Questionnaire</t>
    </r>
    <r>
      <rPr>
        <sz val="12"/>
        <color rgb="FF000000"/>
        <rFont val="Calibri"/>
        <family val="2"/>
        <scheme val="minor"/>
      </rPr>
      <t xml:space="preserve"> worksheet and evaluate each assessment statement using the AI Maturity Scoring Model.</t>
    </r>
  </si>
  <si>
    <t>Select the maturity score that best reflects your organisation's current state.</t>
  </si>
  <si>
    <t>Step 2 – Review Automated Scoring</t>
  </si>
  <si>
    <t>The workbook automatically calculates:</t>
  </si>
  <si>
    <t>Dimension Scores</t>
  </si>
  <si>
    <t>Risk Indicators</t>
  </si>
  <si>
    <t>Step 3 – Review Visualisations</t>
  </si>
  <si>
    <t>The workbook automatically generates:</t>
  </si>
  <si>
    <t>Executive Dashboard</t>
  </si>
  <si>
    <t>AI Readiness Radar Chart</t>
  </si>
  <si>
    <t>Step 4 – Review Recommendations</t>
  </si>
  <si>
    <t>Based on assessment results, the workbook generates:</t>
  </si>
  <si>
    <t>Improvement Priorities</t>
  </si>
  <si>
    <t>Strategic Recommendations</t>
  </si>
  <si>
    <t>AI Adoption Roadmap</t>
  </si>
  <si>
    <t>Step 5 – Generate Executive Report</t>
  </si>
  <si>
    <t>Review the Executive Summary worksheet to produce a board-ready AI Readiness Assessment Report suitable for executive stakeholders.</t>
  </si>
  <si>
    <t>AI Readiness Assessment Framework</t>
  </si>
  <si>
    <t>The assessment evaluates organisational capability across ten critical dimensions required for successful enterprise AI adoption.</t>
  </si>
  <si>
    <t>1. Strategy &amp; Vision</t>
  </si>
  <si>
    <t>Evaluates the extent to which AI is aligned with organisational strategy, business objectives, investment priorities, and executive sponsorship.</t>
  </si>
  <si>
    <t>Key Focus Areas</t>
  </si>
  <si>
    <t>AI Strategy and Roadmap</t>
  </si>
  <si>
    <t>Executive Sponsorship</t>
  </si>
  <si>
    <t>Business Alignment</t>
  </si>
  <si>
    <t>Investment and Funding</t>
  </si>
  <si>
    <t>Success Measures and Value Targets</t>
  </si>
  <si>
    <t>2. Leadership &amp; Culture</t>
  </si>
  <si>
    <t>Assesses organisational leadership commitment, cultural readiness, and the ability to drive AI-enabled transformation.</t>
  </si>
  <si>
    <t>Leadership Awareness and Advocacy</t>
  </si>
  <si>
    <t>Innovation Culture</t>
  </si>
  <si>
    <t>Change Readiness</t>
  </si>
  <si>
    <t>Employee Engagement</t>
  </si>
  <si>
    <t>Adoption Support Mechanisms</t>
  </si>
  <si>
    <t>3. Workforce &amp; Skills</t>
  </si>
  <si>
    <t>Evaluates the organisation's AI capabilities, workforce readiness, and talent development programmes.</t>
  </si>
  <si>
    <t>AI Literacy</t>
  </si>
  <si>
    <t>Skills Development</t>
  </si>
  <si>
    <t>Specialist Capability Availability</t>
  </si>
  <si>
    <t>Training Programmes</t>
  </si>
  <si>
    <t>AI Communities of Practice</t>
  </si>
  <si>
    <t>4. Data Readiness</t>
  </si>
  <si>
    <t>Assesses the quality, accessibility, governance, and suitability of organisational data for AI initiatives.</t>
  </si>
  <si>
    <t>Data Quality</t>
  </si>
  <si>
    <t>Data Governance</t>
  </si>
  <si>
    <t>Data Ownership</t>
  </si>
  <si>
    <t>Data Accessibility</t>
  </si>
  <si>
    <t>Data Privacy and Protection</t>
  </si>
  <si>
    <t>5. Process &amp; Operating Model</t>
  </si>
  <si>
    <t>Evaluates whether organisational processes and operating models can support AI deployment and value realisation.</t>
  </si>
  <si>
    <t>Governance Processes</t>
  </si>
  <si>
    <t>Decision-Making Structures</t>
  </si>
  <si>
    <t>Operating Procedures</t>
  </si>
  <si>
    <t>Business Integration</t>
  </si>
  <si>
    <t>Performance Management</t>
  </si>
  <si>
    <t>6. Technology &amp; Architecture</t>
  </si>
  <si>
    <t>Assesses the technology landscape and technical capabilities required to support AI solutions.</t>
  </si>
  <si>
    <t>Infrastructure Readiness</t>
  </si>
  <si>
    <t>Cloud Capabilities</t>
  </si>
  <si>
    <t>AI Platforms and Tools</t>
  </si>
  <si>
    <t>Systems Integration</t>
  </si>
  <si>
    <t>Scalability and Resilience</t>
  </si>
  <si>
    <t>7. Governance &amp; Responsible AI</t>
  </si>
  <si>
    <t>Evaluates the controls, policies, and accountability mechanisms required to ensure safe, ethical, and compliant AI adoption.</t>
  </si>
  <si>
    <t>AI Governance Framework</t>
  </si>
  <si>
    <t>Responsible AI Principles</t>
  </si>
  <si>
    <t>Model Oversight</t>
  </si>
  <si>
    <t>Bias and Fairness Controls</t>
  </si>
  <si>
    <t>Accountability Structures</t>
  </si>
  <si>
    <t>8. Security &amp; Compliance</t>
  </si>
  <si>
    <t>Assesses the organisation's ability to manage AI-related security, privacy, and regulatory obligations.</t>
  </si>
  <si>
    <t>Cybersecurity Controls</t>
  </si>
  <si>
    <t>Regulatory Compliance</t>
  </si>
  <si>
    <t>Privacy Requirements</t>
  </si>
  <si>
    <t>Risk Management</t>
  </si>
  <si>
    <t>Audit and Assurance Processes</t>
  </si>
  <si>
    <t>9. Use Case &amp; Value Management</t>
  </si>
  <si>
    <t>Evaluates how effectively the organisation identifies, prioritises, and measures AI opportunities.</t>
  </si>
  <si>
    <t>Use Case Identification</t>
  </si>
  <si>
    <t>Business Case Development</t>
  </si>
  <si>
    <t>Benefits Tracking</t>
  </si>
  <si>
    <t>Portfolio Management</t>
  </si>
  <si>
    <t>Value Realisation</t>
  </si>
  <si>
    <t>10. Vendor &amp; Ecosystem Readiness</t>
  </si>
  <si>
    <t>Assesses the organisation's ability to leverage external partners, platforms, and AI service providers.</t>
  </si>
  <si>
    <t>Vendor Management</t>
  </si>
  <si>
    <t>Strategic Partnerships</t>
  </si>
  <si>
    <t>Procurement Readiness</t>
  </si>
  <si>
    <t>Third-Party Risk Management</t>
  </si>
  <si>
    <t>Ecosystem Collaboration</t>
  </si>
  <si>
    <t>AI Maturity Scoring Model</t>
  </si>
  <si>
    <t>Each assessment question should be scored using the following maturity scale:</t>
  </si>
  <si>
    <t>Description</t>
  </si>
  <si>
    <t>Limited awareness and ad hoc activities. AI capabilities are largely undefined and unmanaged.</t>
  </si>
  <si>
    <t>Early planning and isolated initiatives. AI activities are beginning to develop but remain inconsistent.</t>
  </si>
  <si>
    <t>Defined capabilities with growing adoption. Formal processes exist and adoption is increasing.</t>
  </si>
  <si>
    <t>Consistent practices and measurable outcomes. AI capabilities are integrated into business operations.</t>
  </si>
  <si>
    <t>Enterprise-wide capability with continuous improvement. AI is embedded strategically and delivers measurable value at scale.</t>
  </si>
  <si>
    <t>Assessment Outputs</t>
  </si>
  <si>
    <t>Upon completion, the workbook will automatically generate:</t>
  </si>
  <si>
    <t>Dimension-Level Scores</t>
  </si>
  <si>
    <t>Priority Improvement Areas</t>
  </si>
  <si>
    <t>Executive Assessment Report</t>
  </si>
  <si>
    <t>Conclusion</t>
  </si>
  <si>
    <t>Regularly conducting an AI Readiness Assessment enables organisations to measure progress, identify capability gaps, mitigate adoption risks, and maximise the value of AI investments.</t>
  </si>
  <si>
    <t>The insights generated from this assessment should be used to develop actionable improvement plans, strengthen governance and operating models, and accelerate the organisation's journey toward responsible, scalable, and value-driven AI adoption.</t>
  </si>
  <si>
    <t>DROP-DOWN KEYS</t>
  </si>
  <si>
    <t>CHOSEN LEVEL</t>
  </si>
  <si>
    <t>SCORE</t>
  </si>
  <si>
    <t>Evaluate each statement using the AI Maturity Scale (1–5) and select the level that best reflects your organisation's current capability.</t>
  </si>
  <si>
    <t>Recommendation</t>
  </si>
  <si>
    <t>Priority</t>
  </si>
  <si>
    <t>Domain Recommendation Library</t>
  </si>
  <si>
    <t>Develop and approve an enterprise AI strategy and roadmap.</t>
  </si>
  <si>
    <t>Increase executive sponsorship and AI change leadership.</t>
  </si>
  <si>
    <t>Establish AI literacy and capability development programmes.</t>
  </si>
  <si>
    <t>Improve data governance, quality and accessibility.</t>
  </si>
  <si>
    <t>Define AI operating model and governance processes.</t>
  </si>
  <si>
    <t>Expand scalable AI infrastructure and platforms.</t>
  </si>
  <si>
    <t>Implement Responsible AI framework and controls.</t>
  </si>
  <si>
    <t>Strengthen AI security, privacy and compliance oversight.</t>
  </si>
  <si>
    <t>Formalise AI use case prioritisation and benefits tracking.</t>
  </si>
  <si>
    <t>Establish strategic AI vendor and partner management.</t>
  </si>
  <si>
    <r>
      <t>Trigger:</t>
    </r>
    <r>
      <rPr>
        <sz val="11"/>
        <rFont val="Carlito"/>
      </rPr>
      <t xml:space="preserve"> Domain Score &lt; 3.0</t>
    </r>
  </si>
  <si>
    <t>These are capability gaps that present a significant risk to AI adoption.</t>
  </si>
  <si>
    <t>Strategic Optimisation (6–12 Months)</t>
  </si>
  <si>
    <r>
      <t>Trigger:</t>
    </r>
    <r>
      <rPr>
        <sz val="11"/>
        <rFont val="Carlito"/>
      </rPr>
      <t xml:space="preserve"> Domain Score ≥ 4</t>
    </r>
  </si>
  <si>
    <t>These areas are mature and should focus on optimisation and scale.</t>
  </si>
  <si>
    <r>
      <t>Trigger:</t>
    </r>
    <r>
      <rPr>
        <sz val="11"/>
        <rFont val="Carlito"/>
      </rPr>
      <t xml:space="preserve"> Domain Score between 3.0 and 3.9</t>
    </r>
  </si>
  <si>
    <t>These are developing capabilities requiring formalisation.</t>
  </si>
  <si>
    <t>Roadmap Item</t>
  </si>
  <si>
    <t>Formula</t>
  </si>
  <si>
    <t>Highest Scoring Domain</t>
  </si>
  <si>
    <t>Lowest Scoring Domain</t>
  </si>
  <si>
    <t>AI Readiness Index</t>
  </si>
  <si>
    <t>Rank</t>
  </si>
  <si>
    <t>Top Performing Area</t>
  </si>
  <si>
    <t>Priority Improvement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</si>
</sst>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49">
    <font>
      <sz val="11"/>
      <name val="Carlito"/>
    </font>
    <font>
      <sz val="10"/>
      <color rgb="FF0B1F3A"/>
      <name val="Aptos"/>
      <family val="2"/>
    </font>
    <font>
      <b/>
      <sz val="16"/>
      <color rgb="FFFFFFFF"/>
      <name val="Carlito"/>
    </font>
    <font>
      <b/>
      <sz val="11"/>
      <color rgb="FF07111F"/>
      <name val="Carlito"/>
    </font>
    <font>
      <b/>
      <sz val="11"/>
      <color rgb="FFFFFFFF"/>
      <name val="Carlito"/>
    </font>
    <font>
      <b/>
      <sz val="10"/>
      <color theme="0"/>
      <name val="Aptos"/>
      <family val="2"/>
    </font>
    <font>
      <sz val="10"/>
      <color theme="0"/>
      <name val="Aptos"/>
      <family val="2"/>
    </font>
    <font>
      <sz val="11"/>
      <color theme="0"/>
      <name val="Carlito"/>
    </font>
    <font>
      <b/>
      <sz val="24"/>
      <name val="Carlito"/>
    </font>
    <font>
      <sz val="10"/>
      <color theme="1"/>
      <name val="Century Gothic"/>
      <family val="2"/>
    </font>
    <font>
      <b/>
      <sz val="24"/>
      <color rgb="FF595959"/>
      <name val="Century Gothic"/>
      <family val="2"/>
    </font>
    <font>
      <sz val="12"/>
      <color rgb="FF000000"/>
      <name val="Calibri"/>
      <family val="2"/>
    </font>
    <font>
      <b/>
      <sz val="22"/>
      <color rgb="FF595959"/>
      <name val="Century Gothic"/>
      <family val="2"/>
    </font>
    <font>
      <sz val="12"/>
      <color theme="1"/>
      <name val="Century Gothic"/>
      <family val="2"/>
    </font>
    <font>
      <sz val="10"/>
      <color rgb="FF000000"/>
      <name val="Century Gothic"/>
      <family val="2"/>
    </font>
    <font>
      <b/>
      <sz val="10"/>
      <color rgb="FF000000"/>
      <name val="Century Gothic"/>
      <family val="2"/>
    </font>
    <font>
      <b/>
      <sz val="10"/>
      <color theme="1"/>
      <name val="Century Gothic"/>
      <family val="2"/>
    </font>
    <font>
      <sz val="12"/>
      <color rgb="FF000000"/>
      <name val="Source Sans Pro"/>
      <family val="2"/>
    </font>
    <font>
      <sz val="14"/>
      <color theme="1"/>
      <name val="Century Gothic"/>
      <family val="2"/>
    </font>
    <font>
      <sz val="9"/>
      <color theme="1"/>
      <name val="Century Gothic"/>
      <family val="2"/>
    </font>
    <font>
      <sz val="14"/>
      <color theme="0" tint="-0.34998626667073579"/>
      <name val="Century Gothic"/>
      <family val="2"/>
    </font>
    <font>
      <sz val="14"/>
      <color theme="1"/>
      <name val="Century Gothic"/>
      <family val="1"/>
    </font>
    <font>
      <sz val="14"/>
      <color theme="0" tint="-0.34998626667073579"/>
      <name val="Century Gothic"/>
      <family val="1"/>
    </font>
    <font>
      <sz val="11"/>
      <color theme="1"/>
      <name val="Century Gothic"/>
      <family val="2"/>
    </font>
    <font>
      <sz val="11"/>
      <name val="Calibri"/>
      <family val="2"/>
    </font>
    <font>
      <b/>
      <sz val="12"/>
      <color rgb="FF000000"/>
      <name val="Calibri"/>
      <family val="2"/>
    </font>
    <font>
      <b/>
      <sz val="14"/>
      <color rgb="FFFFFFFF"/>
      <name val="Calibri"/>
      <family val="2"/>
    </font>
    <font>
      <b/>
      <sz val="12"/>
      <color rgb="FFFFFFFF"/>
      <name val="Calibri"/>
      <family val="2"/>
    </font>
    <font>
      <b/>
      <sz val="12"/>
      <color theme="0"/>
      <name val="Calibri"/>
      <family val="2"/>
    </font>
    <font>
      <b/>
      <sz val="24"/>
      <color rgb="FF000000"/>
      <name val="Calibri"/>
      <family val="2"/>
    </font>
    <font>
      <b/>
      <sz val="18"/>
      <color rgb="FF000000"/>
      <name val="Calibri"/>
      <family val="2"/>
    </font>
    <font>
      <b/>
      <sz val="13"/>
      <color rgb="FF000000"/>
      <name val="Calibri"/>
      <family val="2"/>
    </font>
    <font>
      <b/>
      <sz val="12"/>
      <color rgb="FF000000"/>
      <name val="Calibri"/>
      <family val="2"/>
      <scheme val="minor"/>
    </font>
    <font>
      <sz val="12"/>
      <color rgb="FF000000"/>
      <name val="Calibri"/>
      <family val="2"/>
      <scheme val="minor"/>
    </font>
    <font>
      <sz val="12"/>
      <color theme="1"/>
      <name val="Calibri"/>
      <family val="2"/>
    </font>
    <font>
      <sz val="22"/>
      <color theme="1" tint="0.34998626667073579"/>
      <name val="Century Gothic"/>
      <family val="2"/>
    </font>
    <font>
      <b/>
      <sz val="20"/>
      <color theme="0" tint="-0.49995422223578601"/>
      <name val="Century Gothic"/>
      <family val="2"/>
    </font>
    <font>
      <sz val="12"/>
      <color rgb="FF000000"/>
      <name val="Century Gothic"/>
      <family val="2"/>
    </font>
    <font>
      <sz val="12"/>
      <color indexed="8"/>
      <name val="Century Gothic"/>
      <family val="2"/>
    </font>
    <font>
      <sz val="11"/>
      <color indexed="8"/>
      <name val="Century Gothic"/>
      <family val="2"/>
    </font>
    <font>
      <sz val="11"/>
      <color theme="0" tint="-0.14999847407452621"/>
      <name val="Century Gothic"/>
      <family val="2"/>
    </font>
    <font>
      <b/>
      <sz val="11"/>
      <name val="Carlito"/>
    </font>
    <font>
      <sz val="10"/>
      <name val="Arial Unicode MS"/>
      <family val="2"/>
    </font>
    <font>
      <sz val="12"/>
      <name val="Carlito"/>
    </font>
    <font>
      <b/>
      <sz val="10"/>
      <color theme="2"/>
      <name val="Aptos"/>
      <family val="2"/>
    </font>
    <font>
      <sz val="11"/>
      <color theme="2"/>
      <name val="Carlito"/>
    </font>
    <font>
      <sz val="10"/>
      <color theme="2"/>
      <name val="Aptos"/>
      <family val="2"/>
    </font>
    <font>
      <sz val="11"/>
      <name val="Carlito"/>
    </font>
    <font>
      <b/>
      <sz val="24"/>
      <color rgb="FFFFFFFF"/>
      <name val="Carlito"/>
    </font>
  </fonts>
  <fills count="24">
    <fill>
      <patternFill patternType="none"/>
    </fill>
    <fill>
      <patternFill patternType="gray125"/>
    </fill>
    <fill>
      <patternFill patternType="solid">
        <fgColor rgb="FF0B1F3A"/>
      </patternFill>
    </fill>
    <fill>
      <patternFill patternType="solid">
        <fgColor rgb="FFF8FAFC"/>
      </patternFill>
    </fill>
    <fill>
      <patternFill patternType="solid">
        <fgColor rgb="FFF1F5F9"/>
      </patternFill>
    </fill>
    <fill>
      <patternFill patternType="solid">
        <fgColor rgb="FF07111F"/>
      </patternFill>
    </fill>
    <fill>
      <patternFill patternType="solid">
        <fgColor rgb="FF22D3EE"/>
      </patternFill>
    </fill>
    <fill>
      <patternFill patternType="solid">
        <fgColor rgb="FF334155"/>
      </patternFill>
    </fill>
    <fill>
      <patternFill patternType="solid">
        <fgColor theme="7" tint="0.39997558519241921"/>
        <bgColor indexed="65"/>
      </patternFill>
    </fill>
    <fill>
      <patternFill patternType="solid">
        <fgColor theme="0"/>
      </patternFill>
    </fill>
    <fill>
      <patternFill patternType="solid">
        <fgColor theme="0" tint="-4.9989318521683403E-2"/>
        <bgColor indexed="65"/>
      </patternFill>
    </fill>
    <fill>
      <patternFill patternType="solid">
        <fgColor theme="0" tint="-0.14999847407452621"/>
        <bgColor indexed="65"/>
      </patternFill>
    </fill>
    <fill>
      <patternFill patternType="solid">
        <fgColor rgb="FFF87853"/>
      </patternFill>
    </fill>
    <fill>
      <patternFill patternType="solid">
        <fgColor rgb="FFF8AE58"/>
      </patternFill>
    </fill>
    <fill>
      <patternFill patternType="solid">
        <fgColor rgb="FFC5F894"/>
      </patternFill>
    </fill>
    <fill>
      <patternFill patternType="solid">
        <fgColor rgb="FF88F8EB"/>
      </patternFill>
    </fill>
    <fill>
      <patternFill patternType="solid">
        <fgColor theme="3" tint="0.79995117038483843"/>
        <bgColor indexed="65"/>
      </patternFill>
    </fill>
    <fill>
      <patternFill patternType="solid">
        <fgColor rgb="FFEAEEF3"/>
      </patternFill>
    </fill>
    <fill>
      <patternFill patternType="solid">
        <fgColor rgb="FFF7F9FB"/>
      </patternFill>
    </fill>
    <fill>
      <patternFill patternType="solid">
        <fgColor rgb="FF4A5568"/>
      </patternFill>
    </fill>
    <fill>
      <patternFill patternType="solid">
        <fgColor rgb="FF92D050"/>
        <bgColor indexed="64"/>
      </patternFill>
    </fill>
    <fill>
      <patternFill patternType="solid">
        <fgColor theme="1"/>
        <bgColor indexed="64"/>
      </patternFill>
    </fill>
    <fill>
      <patternFill patternType="solid">
        <fgColor theme="0"/>
        <bgColor indexed="64"/>
      </patternFill>
    </fill>
    <fill>
      <patternFill patternType="solid">
        <fgColor theme="3" tint="0.249977111117893"/>
        <bgColor indexed="64"/>
      </patternFill>
    </fill>
  </fills>
  <borders count="39">
    <border>
      <left/>
      <right/>
      <top/>
      <bottom/>
      <diagonal/>
    </border>
    <border>
      <left/>
      <right/>
      <top/>
      <bottom/>
      <diagonal/>
    </border>
    <border>
      <left style="thin">
        <color rgb="FFCBD5E1"/>
      </left>
      <right style="thin">
        <color rgb="FFCBD5E1"/>
      </right>
      <top style="thin">
        <color rgb="FFCBD5E1"/>
      </top>
      <bottom style="thin">
        <color rgb="FFCBD5E1"/>
      </bottom>
      <diagonal/>
    </border>
    <border>
      <left style="thin">
        <color indexed="64"/>
      </left>
      <right style="thin">
        <color indexed="64"/>
      </right>
      <top style="thin">
        <color indexed="64"/>
      </top>
      <bottom style="thin">
        <color indexed="64"/>
      </bottom>
      <diagonal/>
    </border>
    <border>
      <left style="thin">
        <color rgb="FFBFBFBF"/>
      </left>
      <right/>
      <top style="thin">
        <color rgb="FFBFBFBF"/>
      </top>
      <bottom style="medium">
        <color rgb="FFBFBFBF"/>
      </bottom>
      <diagonal/>
    </border>
    <border>
      <left/>
      <right style="thin">
        <color rgb="FFBFBFBF"/>
      </right>
      <top style="thin">
        <color rgb="FFBFBFBF"/>
      </top>
      <bottom style="medium">
        <color rgb="FFBFBFBF"/>
      </bottom>
      <diagonal/>
    </border>
    <border>
      <left style="thin">
        <color theme="0" tint="-0.249977111117893"/>
      </left>
      <right style="thin">
        <color rgb="FFBFBFBF"/>
      </right>
      <top style="medium">
        <color theme="0" tint="-0.249977111117893"/>
      </top>
      <bottom/>
      <diagonal/>
    </border>
    <border>
      <left style="thin">
        <color rgb="FFBFBFBF"/>
      </left>
      <right style="thin">
        <color rgb="FFBFBFBF"/>
      </right>
      <top style="medium">
        <color theme="0" tint="-0.249977111117893"/>
      </top>
      <bottom/>
      <diagonal/>
    </border>
    <border>
      <left/>
      <right/>
      <top/>
      <bottom style="medium">
        <color rgb="FFBFBFB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bottom/>
      <diagonal/>
    </border>
    <border>
      <left style="thin">
        <color rgb="FFBFBFBF"/>
      </left>
      <right style="thin">
        <color rgb="FFBFBFBF"/>
      </right>
      <top style="medium">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theme="0" tint="-0.249977111117893"/>
      </bottom>
      <diagonal/>
    </border>
    <border>
      <left style="thin">
        <color rgb="FFBFBFBF"/>
      </left>
      <right style="thin">
        <color rgb="FFBFBFBF"/>
      </right>
      <top style="thin">
        <color rgb="FFBFBFBF"/>
      </top>
      <bottom/>
      <diagonal/>
    </border>
    <border>
      <left style="thin">
        <color rgb="FFBFBFBF"/>
      </left>
      <right style="thin">
        <color rgb="FFBFBFBF"/>
      </right>
      <top style="medium">
        <color theme="0" tint="-0.249977111117893"/>
      </top>
      <bottom style="thin">
        <color rgb="FFBFBFBF"/>
      </bottom>
      <diagonal/>
    </border>
    <border>
      <left style="thin">
        <color rgb="FFBFBFBF"/>
      </left>
      <right style="thin">
        <color rgb="FFBFBFBF"/>
      </right>
      <top style="thin">
        <color rgb="FFBFBFBF"/>
      </top>
      <bottom style="thin">
        <color theme="0" tint="-0.249977111117893"/>
      </bottom>
      <diagonal/>
    </border>
    <border>
      <left style="thin">
        <color rgb="FFBFBFBF"/>
      </left>
      <right style="thin">
        <color rgb="FFBFBFBF"/>
      </right>
      <top/>
      <bottom style="medium">
        <color theme="0" tint="-0.249977111117893"/>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ck">
        <color theme="0" tint="-0.249977111117893"/>
      </top>
      <bottom/>
      <diagonal/>
    </border>
    <border>
      <left style="dashed">
        <color theme="0" tint="-0.249977111117893"/>
      </left>
      <right style="dashed">
        <color theme="0" tint="-0.249977111117893"/>
      </right>
      <top style="dashed">
        <color theme="0" tint="-0.249977111117893"/>
      </top>
      <bottom style="dashed">
        <color theme="0" tint="-0.249977111117893"/>
      </bottom>
      <diagonal/>
    </border>
    <border>
      <left style="medium">
        <color theme="0" tint="-0.34998626667073579"/>
      </left>
      <right/>
      <top style="medium">
        <color theme="0" tint="-0.34998626667073579"/>
      </top>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diagonal/>
    </border>
    <border>
      <left style="medium">
        <color theme="0" tint="-0.34998626667073579"/>
      </left>
      <right style="medium">
        <color theme="0" tint="-0.34998626667073579"/>
      </right>
      <top/>
      <bottom style="medium">
        <color theme="0" tint="-0.34998626667073579"/>
      </bottom>
      <diagonal/>
    </border>
    <border>
      <left/>
      <right/>
      <top style="medium">
        <color theme="0" tint="-0.34998626667073579"/>
      </top>
      <bottom/>
      <diagonal/>
    </border>
    <border>
      <left/>
      <right/>
      <top/>
      <bottom style="medium">
        <color theme="0" tint="-0.34998626667073579"/>
      </bottom>
      <diagonal/>
    </border>
    <border>
      <left style="thin">
        <color rgb="FFCBD5E1"/>
      </left>
      <right/>
      <top style="thin">
        <color rgb="FFCBD5E1"/>
      </top>
      <bottom/>
      <diagonal/>
    </border>
    <border>
      <left/>
      <right/>
      <top style="thin">
        <color rgb="FFCBD5E1"/>
      </top>
      <bottom/>
      <diagonal/>
    </border>
  </borders>
  <cellStyleXfs count="3">
    <xf numFmtId="0" fontId="0" fillId="0" borderId="1"/>
    <xf numFmtId="0" fontId="34" fillId="0" borderId="1"/>
    <xf numFmtId="9" fontId="47" fillId="0" borderId="0" applyFont="0" applyFill="0" applyBorder="0" applyAlignment="0" applyProtection="0"/>
  </cellStyleXfs>
  <cellXfs count="153">
    <xf numFmtId="0" fontId="0" fillId="0" borderId="0" xfId="0" applyBorder="1"/>
    <xf numFmtId="0" fontId="0" fillId="0" borderId="1" xfId="0"/>
    <xf numFmtId="0" fontId="1" fillId="0" borderId="0" xfId="0" applyFont="1" applyBorder="1"/>
    <xf numFmtId="0" fontId="3" fillId="6" borderId="2" xfId="0" applyFont="1" applyFill="1" applyBorder="1"/>
    <xf numFmtId="0" fontId="1" fillId="0" borderId="2" xfId="0" applyFont="1" applyBorder="1"/>
    <xf numFmtId="0" fontId="4" fillId="7" borderId="2" xfId="0" applyFont="1" applyFill="1" applyBorder="1"/>
    <xf numFmtId="0" fontId="4" fillId="7" borderId="2" xfId="0" applyFont="1" applyFill="1" applyBorder="1" applyAlignment="1">
      <alignment wrapText="1"/>
    </xf>
    <xf numFmtId="0" fontId="5" fillId="2" borderId="2" xfId="0" applyFont="1" applyFill="1" applyBorder="1" applyAlignment="1">
      <alignment horizontal="center" vertical="center"/>
    </xf>
    <xf numFmtId="0" fontId="6" fillId="0" borderId="0" xfId="0" applyFont="1" applyBorder="1"/>
    <xf numFmtId="0" fontId="7" fillId="0" borderId="0" xfId="0" applyFont="1" applyBorder="1"/>
    <xf numFmtId="0" fontId="1" fillId="0" borderId="1" xfId="0" applyFont="1"/>
    <xf numFmtId="0" fontId="8" fillId="0" borderId="0" xfId="0" applyFont="1" applyBorder="1" applyAlignment="1">
      <alignment vertical="center"/>
    </xf>
    <xf numFmtId="0" fontId="9" fillId="9" borderId="1" xfId="0" applyFont="1" applyFill="1" applyAlignment="1">
      <alignment wrapText="1"/>
    </xf>
    <xf numFmtId="0" fontId="10" fillId="9" borderId="1" xfId="0" applyFont="1" applyFill="1" applyAlignment="1">
      <alignment vertical="center"/>
    </xf>
    <xf numFmtId="0" fontId="11" fillId="0" borderId="1" xfId="0" applyFont="1"/>
    <xf numFmtId="0" fontId="12" fillId="0" borderId="1" xfId="0" applyFont="1" applyAlignment="1">
      <alignment vertical="center"/>
    </xf>
    <xf numFmtId="0" fontId="9" fillId="0" borderId="1" xfId="0" applyFont="1" applyAlignment="1">
      <alignment wrapText="1"/>
    </xf>
    <xf numFmtId="0" fontId="14" fillId="0" borderId="1" xfId="0" applyFont="1" applyAlignment="1">
      <alignment vertical="center" wrapText="1"/>
    </xf>
    <xf numFmtId="0" fontId="13" fillId="0" borderId="1" xfId="0" applyFont="1" applyAlignment="1">
      <alignment vertical="center"/>
    </xf>
    <xf numFmtId="0" fontId="9" fillId="0" borderId="1" xfId="0" applyFont="1" applyAlignment="1">
      <alignment vertical="center"/>
    </xf>
    <xf numFmtId="0" fontId="9" fillId="0" borderId="1" xfId="0" applyFont="1" applyAlignment="1">
      <alignment horizontal="left" vertical="center"/>
    </xf>
    <xf numFmtId="0" fontId="14" fillId="0" borderId="1" xfId="0" applyFont="1" applyAlignment="1">
      <alignment vertical="center"/>
    </xf>
    <xf numFmtId="0" fontId="13" fillId="10" borderId="4" xfId="0" applyFont="1" applyFill="1" applyBorder="1" applyAlignment="1">
      <alignment vertical="center" wrapText="1"/>
    </xf>
    <xf numFmtId="164" fontId="13" fillId="10" borderId="5" xfId="0" applyNumberFormat="1" applyFont="1" applyFill="1" applyBorder="1" applyAlignment="1">
      <alignment vertical="center"/>
    </xf>
    <xf numFmtId="164" fontId="13" fillId="10" borderId="5" xfId="0" applyNumberFormat="1" applyFont="1" applyFill="1" applyBorder="1" applyAlignment="1">
      <alignment vertical="center" wrapText="1"/>
    </xf>
    <xf numFmtId="0" fontId="15" fillId="0" borderId="1" xfId="0" applyFont="1" applyAlignment="1">
      <alignment vertical="center"/>
    </xf>
    <xf numFmtId="0" fontId="16" fillId="0" borderId="1" xfId="0" applyFont="1" applyAlignment="1">
      <alignment vertical="center"/>
    </xf>
    <xf numFmtId="0" fontId="9" fillId="0" borderId="1" xfId="0" applyFont="1" applyAlignment="1">
      <alignment horizontal="center" vertical="center"/>
    </xf>
    <xf numFmtId="0" fontId="17" fillId="0" borderId="1" xfId="0" applyFont="1"/>
    <xf numFmtId="0" fontId="9" fillId="0" borderId="1" xfId="0" applyFont="1"/>
    <xf numFmtId="0" fontId="9" fillId="11" borderId="6"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13" fillId="13"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3" fillId="14" borderId="7" xfId="0" applyFont="1" applyFill="1" applyBorder="1" applyAlignment="1">
      <alignment horizontal="center" vertical="center" wrapText="1"/>
    </xf>
    <xf numFmtId="0" fontId="13" fillId="15" borderId="7" xfId="0" applyFont="1" applyFill="1" applyBorder="1" applyAlignment="1">
      <alignment horizontal="center" vertical="center" wrapText="1"/>
    </xf>
    <xf numFmtId="0" fontId="18" fillId="0" borderId="8" xfId="0" applyFont="1" applyBorder="1" applyAlignment="1">
      <alignment vertical="top" wrapText="1"/>
    </xf>
    <xf numFmtId="0" fontId="19" fillId="11" borderId="9" xfId="0" applyFont="1" applyFill="1" applyBorder="1" applyAlignment="1">
      <alignment horizontal="center" vertical="center" wrapText="1"/>
    </xf>
    <xf numFmtId="49" fontId="20" fillId="0" borderId="9" xfId="0" applyNumberFormat="1" applyFont="1" applyBorder="1" applyAlignment="1">
      <alignment horizontal="center" vertical="center"/>
    </xf>
    <xf numFmtId="0" fontId="23" fillId="17" borderId="11" xfId="0" applyFont="1" applyFill="1" applyBorder="1" applyAlignment="1">
      <alignment horizontal="left" vertical="center" wrapText="1"/>
    </xf>
    <xf numFmtId="0" fontId="13" fillId="18" borderId="12" xfId="0" applyFont="1" applyFill="1" applyBorder="1" applyAlignment="1">
      <alignment horizontal="center" vertical="center" wrapText="1"/>
    </xf>
    <xf numFmtId="0" fontId="13" fillId="0" borderId="12" xfId="0" applyFont="1" applyBorder="1" applyAlignment="1">
      <alignment horizontal="center" vertical="center"/>
    </xf>
    <xf numFmtId="0" fontId="23" fillId="17" borderId="13" xfId="0" applyFont="1" applyFill="1" applyBorder="1" applyAlignment="1">
      <alignment horizontal="left" vertical="center" wrapText="1"/>
    </xf>
    <xf numFmtId="0" fontId="23" fillId="17" borderId="1" xfId="0" applyFont="1" applyFill="1" applyAlignment="1">
      <alignment horizontal="left" vertical="center" wrapText="1"/>
    </xf>
    <xf numFmtId="0" fontId="13" fillId="18" borderId="13" xfId="0" applyFont="1" applyFill="1" applyBorder="1" applyAlignment="1">
      <alignment horizontal="center" vertical="center" wrapText="1"/>
    </xf>
    <xf numFmtId="0" fontId="13" fillId="0" borderId="13" xfId="0" applyFont="1" applyBorder="1" applyAlignment="1">
      <alignment horizontal="center" vertical="center"/>
    </xf>
    <xf numFmtId="0" fontId="23" fillId="17" borderId="14" xfId="0" applyFont="1" applyFill="1" applyBorder="1" applyAlignment="1">
      <alignment horizontal="left" vertical="center" wrapText="1"/>
    </xf>
    <xf numFmtId="0" fontId="13" fillId="18" borderId="14" xfId="0" applyFont="1" applyFill="1" applyBorder="1" applyAlignment="1">
      <alignment horizontal="center" vertical="center" wrapText="1"/>
    </xf>
    <xf numFmtId="0" fontId="13" fillId="0" borderId="14" xfId="0" applyFont="1" applyBorder="1" applyAlignment="1">
      <alignment horizontal="center" vertical="center"/>
    </xf>
    <xf numFmtId="0" fontId="23" fillId="17" borderId="12" xfId="0" applyFont="1" applyFill="1" applyBorder="1" applyAlignment="1">
      <alignment horizontal="left" vertical="center" wrapText="1"/>
    </xf>
    <xf numFmtId="0" fontId="13" fillId="18" borderId="11" xfId="0" applyFont="1" applyFill="1" applyBorder="1" applyAlignment="1">
      <alignment horizontal="center" vertical="center" wrapText="1"/>
    </xf>
    <xf numFmtId="0" fontId="13" fillId="0" borderId="11" xfId="0" applyFont="1" applyBorder="1" applyAlignment="1">
      <alignment horizontal="center" vertical="center"/>
    </xf>
    <xf numFmtId="0" fontId="23" fillId="17" borderId="16" xfId="0" applyFont="1" applyFill="1" applyBorder="1" applyAlignment="1">
      <alignment horizontal="left" vertical="center" wrapText="1"/>
    </xf>
    <xf numFmtId="0" fontId="23" fillId="17" borderId="17" xfId="0" applyFont="1" applyFill="1" applyBorder="1" applyAlignment="1">
      <alignment horizontal="left" vertical="center" wrapText="1"/>
    </xf>
    <xf numFmtId="0" fontId="13" fillId="18" borderId="16" xfId="0" applyFont="1" applyFill="1" applyBorder="1" applyAlignment="1">
      <alignment horizontal="center" vertical="center" wrapText="1"/>
    </xf>
    <xf numFmtId="0" fontId="13" fillId="0" borderId="16" xfId="0" applyFont="1" applyBorder="1" applyAlignment="1">
      <alignment horizontal="center" vertical="center"/>
    </xf>
    <xf numFmtId="0" fontId="13" fillId="0" borderId="15" xfId="0" applyFont="1" applyBorder="1" applyAlignment="1">
      <alignment horizontal="center" vertical="center"/>
    </xf>
    <xf numFmtId="0" fontId="25" fillId="0" borderId="9" xfId="0" applyFont="1" applyBorder="1" applyAlignment="1">
      <alignment horizontal="center" vertical="center" wrapText="1"/>
    </xf>
    <xf numFmtId="0" fontId="11" fillId="0" borderId="9" xfId="0" applyFont="1" applyBorder="1" applyAlignment="1">
      <alignment vertical="center" wrapText="1"/>
    </xf>
    <xf numFmtId="0" fontId="26" fillId="2" borderId="1" xfId="0" applyFont="1" applyFill="1"/>
    <xf numFmtId="0" fontId="27" fillId="19" borderId="9" xfId="0" applyFont="1" applyFill="1" applyBorder="1" applyAlignment="1">
      <alignment horizontal="center" vertical="center" wrapText="1"/>
    </xf>
    <xf numFmtId="0" fontId="0" fillId="0" borderId="19" xfId="0" applyBorder="1" applyAlignment="1">
      <alignment vertical="center" wrapText="1"/>
    </xf>
    <xf numFmtId="2" fontId="25" fillId="0" borderId="20" xfId="0" applyNumberFormat="1" applyFont="1" applyBorder="1" applyAlignment="1">
      <alignment horizontal="center" vertical="center" wrapText="1"/>
    </xf>
    <xf numFmtId="0" fontId="0" fillId="0" borderId="21" xfId="0" applyBorder="1" applyAlignment="1">
      <alignment vertical="center" wrapText="1"/>
    </xf>
    <xf numFmtId="2" fontId="25" fillId="0" borderId="22" xfId="0" applyNumberFormat="1" applyFont="1" applyBorder="1" applyAlignment="1">
      <alignment horizontal="center" vertical="center" wrapText="1"/>
    </xf>
    <xf numFmtId="165" fontId="25" fillId="0" borderId="22" xfId="0" applyNumberFormat="1" applyFont="1" applyBorder="1" applyAlignment="1">
      <alignment horizontal="center" vertical="center" wrapText="1"/>
    </xf>
    <xf numFmtId="0" fontId="0" fillId="0" borderId="21" xfId="0" applyBorder="1"/>
    <xf numFmtId="0" fontId="0" fillId="0" borderId="23" xfId="0" applyBorder="1"/>
    <xf numFmtId="2" fontId="28" fillId="0" borderId="9" xfId="0" applyNumberFormat="1" applyFont="1" applyBorder="1" applyAlignment="1">
      <alignment horizontal="center" vertical="center" wrapText="1"/>
    </xf>
    <xf numFmtId="0" fontId="0" fillId="0" borderId="9" xfId="0" applyBorder="1" applyAlignment="1">
      <alignment vertical="center" wrapText="1"/>
    </xf>
    <xf numFmtId="0" fontId="29" fillId="0" borderId="1" xfId="0" applyFont="1" applyAlignment="1">
      <alignment vertical="center"/>
    </xf>
    <xf numFmtId="0" fontId="30" fillId="0" borderId="1" xfId="0" applyFont="1" applyAlignment="1">
      <alignment vertical="center"/>
    </xf>
    <xf numFmtId="0" fontId="31" fillId="0" borderId="1" xfId="0" applyFont="1" applyAlignment="1">
      <alignment vertical="center"/>
    </xf>
    <xf numFmtId="0" fontId="0" fillId="0" borderId="1" xfId="0" applyAlignment="1">
      <alignment horizontal="left"/>
    </xf>
    <xf numFmtId="0" fontId="0" fillId="0" borderId="1" xfId="0" applyAlignment="1">
      <alignment horizontal="left" vertical="center"/>
    </xf>
    <xf numFmtId="0" fontId="11" fillId="0" borderId="1" xfId="0" applyFont="1" applyAlignment="1">
      <alignment horizontal="left" vertical="center"/>
    </xf>
    <xf numFmtId="0" fontId="25" fillId="0" borderId="1" xfId="0" applyFont="1"/>
    <xf numFmtId="0" fontId="25" fillId="0" borderId="3" xfId="0" applyFont="1" applyBorder="1" applyAlignment="1">
      <alignment horizontal="center" vertical="center" wrapText="1"/>
    </xf>
    <xf numFmtId="0" fontId="11" fillId="0" borderId="3" xfId="0" applyFont="1" applyBorder="1" applyAlignment="1">
      <alignment vertical="center" wrapText="1"/>
    </xf>
    <xf numFmtId="0" fontId="9" fillId="0" borderId="1" xfId="1" applyFont="1" applyAlignment="1">
      <alignment horizontal="left" vertical="center" wrapText="1"/>
    </xf>
    <xf numFmtId="0" fontId="35" fillId="9" borderId="1" xfId="1" applyFont="1" applyFill="1" applyAlignment="1">
      <alignment vertical="center"/>
    </xf>
    <xf numFmtId="0" fontId="36" fillId="9" borderId="1" xfId="1" applyFont="1" applyFill="1" applyAlignment="1">
      <alignment vertical="center"/>
    </xf>
    <xf numFmtId="0" fontId="9" fillId="9" borderId="1" xfId="1" applyFont="1" applyFill="1" applyAlignment="1">
      <alignment horizontal="left" vertical="center" wrapText="1"/>
    </xf>
    <xf numFmtId="0" fontId="16" fillId="11" borderId="25" xfId="1" applyFont="1" applyFill="1" applyBorder="1" applyAlignment="1">
      <alignment horizontal="center" vertical="center" wrapText="1"/>
    </xf>
    <xf numFmtId="0" fontId="34" fillId="0" borderId="1" xfId="1"/>
    <xf numFmtId="0" fontId="37" fillId="0" borderId="26" xfId="1" applyFont="1" applyBorder="1" applyAlignment="1">
      <alignment horizontal="left" vertical="center"/>
    </xf>
    <xf numFmtId="0" fontId="13" fillId="9" borderId="26" xfId="1" applyFont="1" applyFill="1" applyBorder="1" applyAlignment="1">
      <alignment horizontal="center" vertical="center" wrapText="1"/>
    </xf>
    <xf numFmtId="0" fontId="37" fillId="9" borderId="26" xfId="1" applyFont="1" applyFill="1" applyBorder="1" applyAlignment="1">
      <alignment horizontal="center" vertical="center" wrapText="1"/>
    </xf>
    <xf numFmtId="0" fontId="38" fillId="0" borderId="26" xfId="1" applyFont="1" applyBorder="1" applyAlignment="1">
      <alignment horizontal="left" vertical="center"/>
    </xf>
    <xf numFmtId="0" fontId="39" fillId="0" borderId="1" xfId="1" applyFont="1"/>
    <xf numFmtId="0" fontId="40" fillId="0" borderId="1" xfId="1" applyFont="1" applyAlignment="1">
      <alignment horizontal="center" vertical="center"/>
    </xf>
    <xf numFmtId="0" fontId="13" fillId="20" borderId="26" xfId="1" applyFont="1" applyFill="1" applyBorder="1" applyAlignment="1">
      <alignment horizontal="center" vertical="center" wrapText="1"/>
    </xf>
    <xf numFmtId="0" fontId="37" fillId="21" borderId="26" xfId="1" applyFont="1" applyFill="1" applyBorder="1" applyAlignment="1">
      <alignment horizontal="center" vertical="center" wrapText="1"/>
    </xf>
    <xf numFmtId="0" fontId="0" fillId="0" borderId="0" xfId="0" applyBorder="1" applyAlignment="1">
      <alignment wrapText="1"/>
    </xf>
    <xf numFmtId="0" fontId="41" fillId="0" borderId="9" xfId="0" applyFont="1" applyBorder="1" applyAlignment="1">
      <alignment horizontal="center" vertical="center" wrapText="1"/>
    </xf>
    <xf numFmtId="0" fontId="0" fillId="0" borderId="1" xfId="0" applyAlignment="1">
      <alignment vertical="center" wrapText="1"/>
    </xf>
    <xf numFmtId="0" fontId="0" fillId="0" borderId="9" xfId="0" applyBorder="1"/>
    <xf numFmtId="0" fontId="41" fillId="0" borderId="0" xfId="0" applyFont="1" applyBorder="1"/>
    <xf numFmtId="0" fontId="0" fillId="0" borderId="9" xfId="0" applyBorder="1" applyAlignment="1">
      <alignment horizontal="center" vertical="center" wrapText="1"/>
    </xf>
    <xf numFmtId="2" fontId="42" fillId="0" borderId="9" xfId="0" applyNumberFormat="1" applyFont="1" applyBorder="1" applyAlignment="1">
      <alignment horizontal="center" vertical="center" wrapText="1"/>
    </xf>
    <xf numFmtId="0" fontId="42" fillId="0" borderId="9" xfId="0" applyFont="1" applyBorder="1" applyAlignment="1">
      <alignment horizontal="center" vertical="center" wrapText="1"/>
    </xf>
    <xf numFmtId="0" fontId="1" fillId="0" borderId="1" xfId="0" applyFont="1" applyAlignment="1">
      <alignment horizontal="left" vertical="center"/>
    </xf>
    <xf numFmtId="2" fontId="0" fillId="0" borderId="9" xfId="0" applyNumberFormat="1" applyBorder="1" applyAlignment="1">
      <alignment vertical="center" wrapText="1"/>
    </xf>
    <xf numFmtId="1" fontId="41" fillId="0" borderId="22" xfId="0" applyNumberFormat="1" applyFont="1" applyBorder="1" applyAlignment="1">
      <alignment horizontal="center"/>
    </xf>
    <xf numFmtId="0" fontId="41" fillId="0" borderId="22" xfId="0" applyFont="1" applyBorder="1" applyAlignment="1">
      <alignment horizontal="center"/>
    </xf>
    <xf numFmtId="0" fontId="41" fillId="0" borderId="24" xfId="0" applyFont="1" applyBorder="1" applyAlignment="1">
      <alignment horizontal="center"/>
    </xf>
    <xf numFmtId="14" fontId="3" fillId="6" borderId="2" xfId="0" applyNumberFormat="1" applyFont="1" applyFill="1" applyBorder="1"/>
    <xf numFmtId="49" fontId="3" fillId="6" borderId="2" xfId="0" applyNumberFormat="1" applyFont="1" applyFill="1" applyBorder="1"/>
    <xf numFmtId="0" fontId="3" fillId="22" borderId="1" xfId="0" applyFont="1" applyFill="1"/>
    <xf numFmtId="0" fontId="1" fillId="22" borderId="1" xfId="0" applyFont="1" applyFill="1"/>
    <xf numFmtId="0" fontId="0" fillId="22" borderId="1" xfId="0" applyFill="1"/>
    <xf numFmtId="0" fontId="41" fillId="0" borderId="0" xfId="0" applyFont="1" applyBorder="1" applyAlignment="1">
      <alignment horizontal="center" vertical="center" wrapText="1"/>
    </xf>
    <xf numFmtId="2" fontId="43" fillId="0" borderId="28" xfId="0" applyNumberFormat="1" applyFont="1" applyBorder="1" applyAlignment="1">
      <alignment horizontal="center" vertical="center" wrapText="1"/>
    </xf>
    <xf numFmtId="2" fontId="43" fillId="0" borderId="29" xfId="0" applyNumberFormat="1" applyFont="1" applyBorder="1" applyAlignment="1">
      <alignment horizontal="center" vertical="center" wrapText="1"/>
    </xf>
    <xf numFmtId="2" fontId="43" fillId="0" borderId="31" xfId="0" applyNumberFormat="1" applyFont="1" applyBorder="1" applyAlignment="1">
      <alignment horizontal="center" vertical="center" wrapText="1"/>
    </xf>
    <xf numFmtId="0" fontId="0" fillId="0" borderId="32" xfId="0" applyBorder="1" applyAlignment="1">
      <alignment vertical="center" wrapText="1"/>
    </xf>
    <xf numFmtId="0" fontId="0" fillId="0" borderId="33" xfId="0" applyBorder="1" applyAlignment="1">
      <alignment vertical="center" wrapText="1"/>
    </xf>
    <xf numFmtId="0" fontId="0" fillId="0" borderId="34" xfId="0" applyBorder="1" applyAlignment="1">
      <alignment vertical="center" wrapText="1"/>
    </xf>
    <xf numFmtId="0" fontId="46" fillId="0" borderId="0" xfId="0" applyFont="1" applyBorder="1"/>
    <xf numFmtId="0" fontId="45" fillId="0" borderId="0" xfId="0" applyFont="1" applyBorder="1"/>
    <xf numFmtId="0" fontId="1" fillId="0" borderId="2" xfId="0" applyFont="1" applyBorder="1" applyAlignment="1">
      <alignment horizontal="center"/>
    </xf>
    <xf numFmtId="2" fontId="0" fillId="0" borderId="1" xfId="0" applyNumberFormat="1" applyAlignment="1">
      <alignment vertical="center" wrapText="1"/>
    </xf>
    <xf numFmtId="0" fontId="2" fillId="5" borderId="2" xfId="0" applyFont="1" applyFill="1" applyBorder="1" applyAlignment="1">
      <alignment horizontal="center"/>
    </xf>
    <xf numFmtId="0" fontId="2" fillId="5" borderId="1" xfId="0" applyFont="1" applyFill="1" applyAlignment="1">
      <alignment horizontal="center"/>
    </xf>
    <xf numFmtId="0" fontId="0" fillId="0" borderId="1" xfId="0"/>
    <xf numFmtId="0" fontId="0" fillId="0" borderId="27" xfId="0" applyBorder="1" applyAlignment="1">
      <alignment horizontal="left" vertical="center" wrapText="1"/>
    </xf>
    <xf numFmtId="0" fontId="0" fillId="0" borderId="35" xfId="0" applyBorder="1" applyAlignment="1">
      <alignment horizontal="left" vertical="center" wrapText="1"/>
    </xf>
    <xf numFmtId="0" fontId="0" fillId="0" borderId="28" xfId="0" applyBorder="1" applyAlignment="1">
      <alignment horizontal="left" vertical="center" wrapText="1"/>
    </xf>
    <xf numFmtId="0" fontId="0" fillId="0" borderId="30" xfId="0" applyBorder="1" applyAlignment="1">
      <alignment horizontal="left" vertical="center" wrapText="1"/>
    </xf>
    <xf numFmtId="0" fontId="0" fillId="0" borderId="36" xfId="0" applyBorder="1" applyAlignment="1">
      <alignment horizontal="left" vertical="center" wrapText="1"/>
    </xf>
    <xf numFmtId="0" fontId="0" fillId="0" borderId="31" xfId="0" applyBorder="1" applyAlignment="1">
      <alignment horizontal="left" vertical="center" wrapText="1"/>
    </xf>
    <xf numFmtId="0" fontId="13" fillId="9" borderId="1" xfId="0" applyFont="1" applyFill="1" applyAlignment="1">
      <alignment horizontal="left" vertical="top" wrapText="1"/>
    </xf>
    <xf numFmtId="49" fontId="23" fillId="16" borderId="10" xfId="0" applyNumberFormat="1" applyFont="1" applyFill="1" applyBorder="1" applyAlignment="1">
      <alignment horizontal="left" vertical="top" wrapText="1"/>
    </xf>
    <xf numFmtId="0" fontId="24" fillId="16" borderId="10" xfId="0" applyFont="1" applyFill="1" applyBorder="1"/>
    <xf numFmtId="0" fontId="24" fillId="16" borderId="12" xfId="0" applyFont="1" applyFill="1" applyBorder="1"/>
    <xf numFmtId="49" fontId="23" fillId="16" borderId="7" xfId="0" applyNumberFormat="1" applyFont="1" applyFill="1" applyBorder="1" applyAlignment="1">
      <alignment horizontal="center" vertical="top" wrapText="1"/>
    </xf>
    <xf numFmtId="49" fontId="23" fillId="16" borderId="10" xfId="0" applyNumberFormat="1" applyFont="1" applyFill="1" applyBorder="1" applyAlignment="1">
      <alignment horizontal="center" vertical="top" wrapText="1"/>
    </xf>
    <xf numFmtId="49" fontId="23" fillId="16" borderId="18" xfId="0" applyNumberFormat="1" applyFont="1" applyFill="1" applyBorder="1" applyAlignment="1">
      <alignment horizontal="center" vertical="top" wrapText="1"/>
    </xf>
    <xf numFmtId="49" fontId="23" fillId="16" borderId="7" xfId="0" applyNumberFormat="1" applyFont="1" applyFill="1" applyBorder="1" applyAlignment="1">
      <alignment horizontal="left" vertical="top" wrapText="1"/>
    </xf>
    <xf numFmtId="0" fontId="24" fillId="16" borderId="18" xfId="0" applyFont="1" applyFill="1" applyBorder="1"/>
    <xf numFmtId="49" fontId="23" fillId="16" borderId="15" xfId="0" applyNumberFormat="1" applyFont="1" applyFill="1" applyBorder="1" applyAlignment="1">
      <alignment horizontal="left" vertical="top" wrapText="1"/>
    </xf>
    <xf numFmtId="0" fontId="1" fillId="4" borderId="2" xfId="0" applyFont="1" applyFill="1" applyBorder="1" applyAlignment="1">
      <alignment vertical="top" wrapText="1"/>
    </xf>
    <xf numFmtId="0" fontId="0" fillId="0" borderId="0" xfId="0" applyBorder="1"/>
    <xf numFmtId="0" fontId="44" fillId="2" borderId="2" xfId="0" applyFont="1" applyFill="1" applyBorder="1" applyAlignment="1">
      <alignment horizontal="center" vertical="center"/>
    </xf>
    <xf numFmtId="0" fontId="45" fillId="0" borderId="1" xfId="0" applyFont="1"/>
    <xf numFmtId="0" fontId="1" fillId="3" borderId="2" xfId="0" applyFont="1" applyFill="1" applyBorder="1" applyAlignment="1">
      <alignment vertical="top" wrapText="1"/>
    </xf>
    <xf numFmtId="0" fontId="1" fillId="0" borderId="1" xfId="0" applyFont="1" applyBorder="1"/>
    <xf numFmtId="0" fontId="0" fillId="0" borderId="1" xfId="0" applyBorder="1"/>
    <xf numFmtId="165" fontId="48" fillId="23" borderId="2" xfId="0" applyNumberFormat="1" applyFont="1" applyFill="1" applyBorder="1" applyAlignment="1">
      <alignment horizontal="center" wrapText="1"/>
    </xf>
    <xf numFmtId="0" fontId="48" fillId="7" borderId="2" xfId="0" applyFont="1" applyFill="1" applyBorder="1" applyAlignment="1">
      <alignment horizontal="center" wrapText="1"/>
    </xf>
    <xf numFmtId="9" fontId="48" fillId="23" borderId="2" xfId="2" applyFont="1" applyFill="1" applyBorder="1" applyAlignment="1">
      <alignment horizontal="center" wrapText="1"/>
    </xf>
    <xf numFmtId="0" fontId="48" fillId="7" borderId="37" xfId="0" applyFont="1" applyFill="1" applyBorder="1" applyAlignment="1">
      <alignment horizontal="center" vertical="center" wrapText="1"/>
    </xf>
    <xf numFmtId="0" fontId="48" fillId="7" borderId="38" xfId="0" applyFont="1" applyFill="1" applyBorder="1" applyAlignment="1">
      <alignment horizontal="center" vertical="center" wrapText="1"/>
    </xf>
  </cellXfs>
  <cellStyles count="3">
    <cellStyle name="Normal" xfId="0" builtinId="0"/>
    <cellStyle name="Normal 2" xfId="1" xr:uid="{438EF576-9A0C-4819-9DD9-AA0904618292}"/>
    <cellStyle name="Percent" xfId="2" builtinId="5"/>
  </cellStyles>
  <dxfs count="50">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6666"/>
        </patternFill>
      </fill>
    </dxf>
    <dxf>
      <fill>
        <patternFill>
          <bgColor rgb="FFFFC000"/>
        </patternFill>
      </fill>
    </dxf>
    <dxf>
      <fill>
        <patternFill>
          <bgColor rgb="FF92D050"/>
        </patternFill>
      </fill>
    </dxf>
    <dxf>
      <fill>
        <patternFill>
          <bgColor rgb="FF00B050"/>
        </patternFill>
      </fill>
    </dxf>
    <dxf>
      <fill>
        <patternFill patternType="solid">
          <bgColor rgb="FFDCFCE7"/>
        </patternFill>
      </fill>
    </dxf>
    <dxf>
      <fill>
        <patternFill patternType="solid">
          <bgColor rgb="FFFEF3C7"/>
        </patternFill>
      </fill>
    </dxf>
    <dxf>
      <fill>
        <patternFill patternType="solid">
          <bgColor rgb="FFFEE2E2"/>
        </patternFill>
      </fill>
    </dxf>
    <dxf>
      <font>
        <color theme="1"/>
      </font>
      <fill>
        <patternFill>
          <bgColor auto="1"/>
        </patternFill>
      </fill>
    </dxf>
    <dxf>
      <font>
        <color theme="1"/>
      </font>
      <fill>
        <patternFill>
          <bgColor theme="7"/>
        </patternFill>
      </fill>
    </dxf>
    <dxf>
      <font>
        <color theme="1"/>
      </font>
      <fill>
        <patternFill>
          <bgColor auto="1"/>
        </patternFill>
      </fill>
    </dxf>
    <dxf>
      <font>
        <color theme="1"/>
      </font>
      <fill>
        <patternFill>
          <bgColor auto="1"/>
        </patternFill>
      </fill>
    </dxf>
    <dxf>
      <font>
        <color theme="1"/>
      </font>
      <fill>
        <patternFill>
          <bgColor auto="1"/>
        </patternFill>
      </fill>
    </dxf>
    <dxf>
      <fill>
        <patternFill>
          <bgColor rgb="FFFF0000"/>
        </patternFill>
      </fill>
    </dxf>
    <dxf>
      <fill>
        <patternFill>
          <bgColor rgb="FFFFC000"/>
        </patternFill>
      </fill>
    </dxf>
    <dxf>
      <fill>
        <patternFill>
          <bgColor rgb="FF00B050"/>
        </patternFill>
      </fill>
    </dxf>
    <dxf>
      <fill>
        <patternFill>
          <bgColor theme="0" tint="-4.9989318521683403E-2"/>
        </patternFill>
      </fill>
    </dxf>
    <dxf>
      <font>
        <color theme="0" tint="-0.24994659260841701"/>
      </font>
      <fill>
        <patternFill>
          <bgColor auto="1"/>
        </patternFill>
      </fill>
    </dxf>
    <dxf>
      <font>
        <color theme="1"/>
      </font>
      <fill>
        <patternFill>
          <bgColor auto="1"/>
        </patternFill>
      </fill>
    </dxf>
    <dxf>
      <font>
        <color theme="1"/>
      </font>
      <fill>
        <patternFill>
          <bgColor theme="7"/>
        </patternFill>
      </fill>
    </dxf>
    <dxf>
      <font>
        <color theme="1"/>
      </font>
      <fill>
        <patternFill>
          <bgColor auto="1"/>
        </patternFill>
      </fill>
    </dxf>
    <dxf>
      <font>
        <color theme="1"/>
      </font>
      <fill>
        <patternFill>
          <bgColor auto="1"/>
        </patternFill>
      </fill>
    </dxf>
    <dxf>
      <font>
        <color theme="1"/>
      </font>
      <fill>
        <patternFill>
          <bgColor auto="1"/>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6699"/>
        </patternFill>
      </fill>
    </dxf>
    <dxf>
      <fill>
        <patternFill>
          <bgColor rgb="FFFFC000"/>
        </patternFill>
      </fill>
    </dxf>
    <dxf>
      <fill>
        <patternFill>
          <bgColor rgb="FF92D050"/>
        </patternFill>
      </fill>
    </dxf>
    <dxf>
      <fill>
        <patternFill>
          <bgColor rgb="FF00B050"/>
        </patternFill>
      </fill>
    </dxf>
    <dxf>
      <fill>
        <patternFill patternType="solid">
          <bgColor rgb="FFDCFCE7"/>
        </patternFill>
      </fill>
    </dxf>
    <dxf>
      <fill>
        <patternFill patternType="solid">
          <bgColor rgb="FFFEF3C7"/>
        </patternFill>
      </fill>
    </dxf>
    <dxf>
      <fill>
        <patternFill patternType="solid">
          <bgColor rgb="FFFEE2E2"/>
        </patternFill>
      </fill>
    </dxf>
    <dxf>
      <fill>
        <patternFill>
          <bgColor rgb="FFFFC000"/>
        </patternFill>
      </fill>
    </dxf>
    <dxf>
      <fill>
        <patternFill>
          <bgColor rgb="FFFF0000"/>
        </patternFill>
      </fill>
    </dxf>
    <dxf>
      <fill>
        <patternFill>
          <bgColor rgb="FFFF0000"/>
        </patternFill>
      </fill>
    </dxf>
    <dxf>
      <fill>
        <patternFill>
          <bgColor rgb="FF92D050"/>
        </patternFill>
      </fill>
    </dxf>
    <dxf>
      <fill>
        <patternFill>
          <bgColor rgb="FFFFC000"/>
        </patternFill>
      </fill>
    </dxf>
    <dxf>
      <fill>
        <patternFill>
          <bgColor rgb="FFFF6699"/>
        </patternFill>
      </fill>
    </dxf>
    <dxf>
      <fill>
        <patternFill>
          <bgColor rgb="FFFF0000"/>
        </patternFill>
      </fill>
    </dxf>
    <dxf>
      <fill>
        <patternFill>
          <bgColor rgb="FFFFC000"/>
        </patternFill>
      </fill>
    </dxf>
    <dxf>
      <fill>
        <patternFill>
          <bgColor rgb="FFFF6699"/>
        </patternFill>
      </fill>
    </dxf>
    <dxf>
      <fill>
        <patternFill>
          <bgColor rgb="FFFF0000"/>
        </patternFill>
      </fill>
    </dxf>
    <dxf>
      <fill>
        <patternFill>
          <bgColor rgb="FFFF6699"/>
        </patternFill>
      </fill>
    </dxf>
    <dxf>
      <fill>
        <patternFill>
          <bgColor rgb="FFFF0000"/>
        </patternFill>
      </fill>
    </dxf>
    <dxf>
      <fill>
        <patternFill>
          <bgColor rgb="FFFF0000"/>
        </patternFill>
      </fill>
    </dxf>
  </dxfs>
  <tableStyles count="0" defaultTableStyle="TableStyleMedium2" defaultPivotStyle="PivotStyleLight16"/>
  <colors>
    <mruColors>
      <color rgb="FFFF6666"/>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a:t>Dimension Readiness Scores</a:t>
            </a:r>
          </a:p>
        </c:rich>
      </c:tx>
      <c:overlay val="0"/>
    </c:title>
    <c:autoTitleDeleted val="0"/>
    <c:plotArea>
      <c:layout/>
      <c:barChart>
        <c:barDir val="col"/>
        <c:grouping val="clustered"/>
        <c:varyColors val="0"/>
        <c:ser>
          <c:idx val="0"/>
          <c:order val="0"/>
          <c:spPr>
            <a:ln>
              <a:prstDash val="solid"/>
            </a:ln>
          </c:spPr>
          <c:invertIfNegative val="1"/>
          <c:cat>
            <c:strRef>
              <c:f>'Executive Dashboard'!$A$8:$A$17</c:f>
              <c:strCache>
                <c:ptCount val="10"/>
                <c:pt idx="0">
                  <c:v>Strategy &amp; Vision</c:v>
                </c:pt>
                <c:pt idx="1">
                  <c:v>Leadership &amp; Culture</c:v>
                </c:pt>
                <c:pt idx="2">
                  <c:v>Workforce &amp; Skills</c:v>
                </c:pt>
                <c:pt idx="3">
                  <c:v>Data Readiness</c:v>
                </c:pt>
                <c:pt idx="4">
                  <c:v>Process &amp; Operating Model</c:v>
                </c:pt>
                <c:pt idx="5">
                  <c:v>Technology &amp; Architecture</c:v>
                </c:pt>
                <c:pt idx="6">
                  <c:v>Governance &amp; Responsible AI</c:v>
                </c:pt>
                <c:pt idx="7">
                  <c:v>Security &amp; Compliance</c:v>
                </c:pt>
                <c:pt idx="8">
                  <c:v>Use Case &amp; Value Management</c:v>
                </c:pt>
                <c:pt idx="9">
                  <c:v>Vendor &amp; Ecosystem Readiness</c:v>
                </c:pt>
              </c:strCache>
            </c:strRef>
          </c:cat>
          <c:val>
            <c:numRef>
              <c:f>'Executive Dashboard'!$B$8:$B$17</c:f>
              <c:numCache>
                <c:formatCode>General</c:formatCode>
                <c:ptCount val="10"/>
                <c:pt idx="0">
                  <c:v>2</c:v>
                </c:pt>
                <c:pt idx="1">
                  <c:v>0</c:v>
                </c:pt>
                <c:pt idx="2">
                  <c:v>1</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D83-4F79-9956-9ED75A145E6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GB" b="1"/>
              <a:t>AI Readiness Maturity Radar</a:t>
            </a:r>
          </a:p>
        </c:rich>
      </c:tx>
      <c:overlay val="0"/>
    </c:title>
    <c:autoTitleDeleted val="0"/>
    <c:plotArea>
      <c:layout/>
      <c:radarChart>
        <c:radarStyle val="marker"/>
        <c:varyColors val="1"/>
        <c:ser>
          <c:idx val="0"/>
          <c:order val="0"/>
          <c:tx>
            <c:v>Score</c:v>
          </c:tx>
          <c:spPr>
            <a:ln>
              <a:prstDash val="solid"/>
            </a:ln>
          </c:spPr>
          <c:marker>
            <c:symbol val="none"/>
          </c:marker>
          <c:cat>
            <c:strRef>
              <c:f>'Executive Dashboard'!$A$8:$A$17</c:f>
              <c:strCache>
                <c:ptCount val="10"/>
                <c:pt idx="0">
                  <c:v>Strategy &amp; Vision</c:v>
                </c:pt>
                <c:pt idx="1">
                  <c:v>Leadership &amp; Culture</c:v>
                </c:pt>
                <c:pt idx="2">
                  <c:v>Workforce &amp; Skills</c:v>
                </c:pt>
                <c:pt idx="3">
                  <c:v>Data Readiness</c:v>
                </c:pt>
                <c:pt idx="4">
                  <c:v>Process &amp; Operating Model</c:v>
                </c:pt>
                <c:pt idx="5">
                  <c:v>Technology &amp; Architecture</c:v>
                </c:pt>
                <c:pt idx="6">
                  <c:v>Governance &amp; Responsible AI</c:v>
                </c:pt>
                <c:pt idx="7">
                  <c:v>Security &amp; Compliance</c:v>
                </c:pt>
                <c:pt idx="8">
                  <c:v>Use Case &amp; Value Management</c:v>
                </c:pt>
                <c:pt idx="9">
                  <c:v>Vendor &amp; Ecosystem Readiness</c:v>
                </c:pt>
              </c:strCache>
            </c:strRef>
          </c:cat>
          <c:val>
            <c:numRef>
              <c:f>'Executive Dashboard'!$A$8:$A$17</c:f>
              <c:numCache>
                <c:formatCode>General</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9D4E-4F24-B39C-5D988948B68F}"/>
            </c:ext>
          </c:extLst>
        </c:ser>
        <c:ser>
          <c:idx val="1"/>
          <c:order val="1"/>
          <c:tx>
            <c:v>Readiness Score</c:v>
          </c:tx>
          <c:spPr>
            <a:ln w="31750"/>
          </c:spPr>
          <c:marker>
            <c:symbol val="diamond"/>
            <c:size val="6"/>
          </c:marker>
          <c:val>
            <c:numRef>
              <c:f>'Executive Dashboard'!$B$8:$B$17</c:f>
              <c:numCache>
                <c:formatCode>General</c:formatCode>
                <c:ptCount val="10"/>
                <c:pt idx="0">
                  <c:v>2</c:v>
                </c:pt>
                <c:pt idx="1">
                  <c:v>0</c:v>
                </c:pt>
                <c:pt idx="2">
                  <c:v>1</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41B7-445C-A54B-11B34985A98F}"/>
            </c:ext>
          </c:extLst>
        </c:ser>
        <c:dLbls>
          <c:showLegendKey val="0"/>
          <c:showVal val="0"/>
          <c:showCatName val="0"/>
          <c:showSerName val="0"/>
          <c:showPercent val="0"/>
          <c:showBubbleSize val="0"/>
        </c:dLbls>
        <c:axId val="48650112"/>
        <c:axId val="48672768"/>
      </c:radarChart>
      <c:catAx>
        <c:axId val="48650112"/>
        <c:scaling>
          <c:orientation val="minMax"/>
        </c:scaling>
        <c:delete val="0"/>
        <c:axPos val="b"/>
        <c:majorGridlines>
          <c:spPr>
            <a:ln w="9525">
              <a:solidFill>
                <a:srgbClr val="CCCCCC"/>
              </a:solidFill>
              <a:prstDash val="dash"/>
            </a:ln>
          </c:spPr>
        </c:majorGridlines>
        <c:numFmt formatCode=";;" sourceLinked="0"/>
        <c:majorTickMark val="none"/>
        <c:minorTickMark val="none"/>
        <c:tickLblPos val="nextTo"/>
        <c:crossAx val="48672768"/>
        <c:crosses val="autoZero"/>
        <c:auto val="1"/>
        <c:lblAlgn val="ctr"/>
        <c:lblOffset val="100"/>
        <c:noMultiLvlLbl val="0"/>
      </c:catAx>
      <c:valAx>
        <c:axId val="48672768"/>
        <c:scaling>
          <c:orientation val="minMax"/>
          <c:max val="5"/>
        </c:scaling>
        <c:delete val="0"/>
        <c:axPos val="l"/>
        <c:majorGridlines>
          <c:spPr>
            <a:ln w="9525">
              <a:solidFill>
                <a:srgbClr val="CCCCCC"/>
              </a:solidFill>
              <a:prstDash val="dash"/>
            </a:ln>
          </c:spPr>
        </c:majorGridlines>
        <c:numFmt formatCode=";;" sourceLinked="0"/>
        <c:majorTickMark val="none"/>
        <c:minorTickMark val="none"/>
        <c:tickLblPos val="nextTo"/>
        <c:crossAx val="48650112"/>
        <c:crosses val="autoZero"/>
        <c:crossBetween val="between"/>
        <c:majorUnit val="1"/>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828261</xdr:colOff>
      <xdr:row>5</xdr:row>
      <xdr:rowOff>55217</xdr:rowOff>
    </xdr:from>
    <xdr:to>
      <xdr:col>31</xdr:col>
      <xdr:colOff>138044</xdr:colOff>
      <xdr:row>21</xdr:row>
      <xdr:rowOff>-1</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63499</xdr:rowOff>
    </xdr:from>
    <xdr:to>
      <xdr:col>10</xdr:col>
      <xdr:colOff>0</xdr:colOff>
      <xdr:row>69</xdr:row>
      <xdr:rowOff>108857</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234950</xdr:colOff>
      <xdr:row>86</xdr:row>
      <xdr:rowOff>69850</xdr:rowOff>
    </xdr:from>
    <xdr:to>
      <xdr:col>0</xdr:col>
      <xdr:colOff>234950</xdr:colOff>
      <xdr:row>86</xdr:row>
      <xdr:rowOff>139700</xdr:rowOff>
    </xdr:to>
    <xdr:sp macro="" textlink="">
      <xdr:nvSpPr>
        <xdr:cNvPr id="2" name="Oval 18">
          <a:extLst>
            <a:ext uri="{FF2B5EF4-FFF2-40B4-BE49-F238E27FC236}">
              <a16:creationId xmlns:a16="http://schemas.microsoft.com/office/drawing/2014/main" id="{BD44F118-316D-4504-997C-3807C1600555}"/>
            </a:ext>
          </a:extLst>
        </xdr:cNvPr>
        <xdr:cNvSpPr>
          <a:spLocks noGrp="1"/>
        </xdr:cNvSpPr>
      </xdr:nvSpPr>
      <xdr:spPr>
        <a:xfrm>
          <a:off x="234950" y="179070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260350</xdr:colOff>
      <xdr:row>92</xdr:row>
      <xdr:rowOff>76200</xdr:rowOff>
    </xdr:from>
    <xdr:to>
      <xdr:col>0</xdr:col>
      <xdr:colOff>260350</xdr:colOff>
      <xdr:row>92</xdr:row>
      <xdr:rowOff>146050</xdr:rowOff>
    </xdr:to>
    <xdr:sp macro="" textlink="">
      <xdr:nvSpPr>
        <xdr:cNvPr id="3" name="Oval 19">
          <a:extLst>
            <a:ext uri="{FF2B5EF4-FFF2-40B4-BE49-F238E27FC236}">
              <a16:creationId xmlns:a16="http://schemas.microsoft.com/office/drawing/2014/main" id="{33BEF4DF-21A0-40D5-9002-FA23A7725E0B}"/>
            </a:ext>
          </a:extLst>
        </xdr:cNvPr>
        <xdr:cNvSpPr>
          <a:spLocks noGrp="1"/>
        </xdr:cNvSpPr>
      </xdr:nvSpPr>
      <xdr:spPr>
        <a:xfrm>
          <a:off x="260350" y="1919605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247650</xdr:colOff>
      <xdr:row>88</xdr:row>
      <xdr:rowOff>63500</xdr:rowOff>
    </xdr:from>
    <xdr:to>
      <xdr:col>0</xdr:col>
      <xdr:colOff>247650</xdr:colOff>
      <xdr:row>88</xdr:row>
      <xdr:rowOff>133350</xdr:rowOff>
    </xdr:to>
    <xdr:sp macro="" textlink="">
      <xdr:nvSpPr>
        <xdr:cNvPr id="4" name="Oval 20">
          <a:extLst>
            <a:ext uri="{FF2B5EF4-FFF2-40B4-BE49-F238E27FC236}">
              <a16:creationId xmlns:a16="http://schemas.microsoft.com/office/drawing/2014/main" id="{16198B1C-11CC-4CBE-803C-6D9038E41A67}"/>
            </a:ext>
          </a:extLst>
        </xdr:cNvPr>
        <xdr:cNvSpPr>
          <a:spLocks noGrp="1"/>
        </xdr:cNvSpPr>
      </xdr:nvSpPr>
      <xdr:spPr>
        <a:xfrm>
          <a:off x="247650" y="1839595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273050</xdr:colOff>
      <xdr:row>94</xdr:row>
      <xdr:rowOff>69850</xdr:rowOff>
    </xdr:from>
    <xdr:to>
      <xdr:col>0</xdr:col>
      <xdr:colOff>273050</xdr:colOff>
      <xdr:row>94</xdr:row>
      <xdr:rowOff>139700</xdr:rowOff>
    </xdr:to>
    <xdr:sp macro="" textlink="">
      <xdr:nvSpPr>
        <xdr:cNvPr id="5" name="Oval 21">
          <a:extLst>
            <a:ext uri="{FF2B5EF4-FFF2-40B4-BE49-F238E27FC236}">
              <a16:creationId xmlns:a16="http://schemas.microsoft.com/office/drawing/2014/main" id="{07EAA52A-6757-4383-A4C7-AAD99F29AECA}"/>
            </a:ext>
          </a:extLst>
        </xdr:cNvPr>
        <xdr:cNvSpPr>
          <a:spLocks noGrp="1"/>
        </xdr:cNvSpPr>
      </xdr:nvSpPr>
      <xdr:spPr>
        <a:xfrm>
          <a:off x="273050" y="195834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247650</xdr:colOff>
      <xdr:row>104</xdr:row>
      <xdr:rowOff>76200</xdr:rowOff>
    </xdr:from>
    <xdr:to>
      <xdr:col>0</xdr:col>
      <xdr:colOff>247650</xdr:colOff>
      <xdr:row>104</xdr:row>
      <xdr:rowOff>146050</xdr:rowOff>
    </xdr:to>
    <xdr:sp macro="" textlink="">
      <xdr:nvSpPr>
        <xdr:cNvPr id="6" name="Oval 34">
          <a:extLst>
            <a:ext uri="{FF2B5EF4-FFF2-40B4-BE49-F238E27FC236}">
              <a16:creationId xmlns:a16="http://schemas.microsoft.com/office/drawing/2014/main" id="{C0F878E9-5C80-46E0-B433-9BEB48F44CF5}"/>
            </a:ext>
          </a:extLst>
        </xdr:cNvPr>
        <xdr:cNvSpPr>
          <a:spLocks noGrp="1"/>
        </xdr:cNvSpPr>
      </xdr:nvSpPr>
      <xdr:spPr>
        <a:xfrm>
          <a:off x="247650" y="2155825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247650</xdr:colOff>
      <xdr:row>110</xdr:row>
      <xdr:rowOff>82550</xdr:rowOff>
    </xdr:from>
    <xdr:to>
      <xdr:col>0</xdr:col>
      <xdr:colOff>247650</xdr:colOff>
      <xdr:row>110</xdr:row>
      <xdr:rowOff>152400</xdr:rowOff>
    </xdr:to>
    <xdr:sp macro="" textlink="">
      <xdr:nvSpPr>
        <xdr:cNvPr id="7" name="Oval 35">
          <a:extLst>
            <a:ext uri="{FF2B5EF4-FFF2-40B4-BE49-F238E27FC236}">
              <a16:creationId xmlns:a16="http://schemas.microsoft.com/office/drawing/2014/main" id="{98C0DB20-2505-4FF3-8631-20F4C141720D}"/>
            </a:ext>
          </a:extLst>
        </xdr:cNvPr>
        <xdr:cNvSpPr>
          <a:spLocks noGrp="1"/>
        </xdr:cNvSpPr>
      </xdr:nvSpPr>
      <xdr:spPr>
        <a:xfrm>
          <a:off x="247650" y="228473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234950</xdr:colOff>
      <xdr:row>106</xdr:row>
      <xdr:rowOff>57150</xdr:rowOff>
    </xdr:from>
    <xdr:to>
      <xdr:col>0</xdr:col>
      <xdr:colOff>234950</xdr:colOff>
      <xdr:row>106</xdr:row>
      <xdr:rowOff>127000</xdr:rowOff>
    </xdr:to>
    <xdr:sp macro="" textlink="">
      <xdr:nvSpPr>
        <xdr:cNvPr id="8" name="Oval 36">
          <a:extLst>
            <a:ext uri="{FF2B5EF4-FFF2-40B4-BE49-F238E27FC236}">
              <a16:creationId xmlns:a16="http://schemas.microsoft.com/office/drawing/2014/main" id="{9DE69305-5376-411B-8777-5AC47868E42D}"/>
            </a:ext>
          </a:extLst>
        </xdr:cNvPr>
        <xdr:cNvSpPr>
          <a:spLocks noGrp="1"/>
        </xdr:cNvSpPr>
      </xdr:nvSpPr>
      <xdr:spPr>
        <a:xfrm>
          <a:off x="234950" y="220345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260350</xdr:colOff>
      <xdr:row>112</xdr:row>
      <xdr:rowOff>63500</xdr:rowOff>
    </xdr:from>
    <xdr:to>
      <xdr:col>0</xdr:col>
      <xdr:colOff>260350</xdr:colOff>
      <xdr:row>112</xdr:row>
      <xdr:rowOff>133350</xdr:rowOff>
    </xdr:to>
    <xdr:sp macro="" textlink="">
      <xdr:nvSpPr>
        <xdr:cNvPr id="9" name="Oval 37">
          <a:extLst>
            <a:ext uri="{FF2B5EF4-FFF2-40B4-BE49-F238E27FC236}">
              <a16:creationId xmlns:a16="http://schemas.microsoft.com/office/drawing/2014/main" id="{91AEAB57-F7D4-4428-99DD-7BC003298BA8}"/>
            </a:ext>
          </a:extLst>
        </xdr:cNvPr>
        <xdr:cNvSpPr>
          <a:spLocks noGrp="1"/>
        </xdr:cNvSpPr>
      </xdr:nvSpPr>
      <xdr:spPr>
        <a:xfrm>
          <a:off x="260350" y="2322195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247650</xdr:colOff>
      <xdr:row>178</xdr:row>
      <xdr:rowOff>69850</xdr:rowOff>
    </xdr:from>
    <xdr:to>
      <xdr:col>0</xdr:col>
      <xdr:colOff>247650</xdr:colOff>
      <xdr:row>178</xdr:row>
      <xdr:rowOff>139700</xdr:rowOff>
    </xdr:to>
    <xdr:sp macro="" textlink="">
      <xdr:nvSpPr>
        <xdr:cNvPr id="10" name="Oval 43">
          <a:extLst>
            <a:ext uri="{FF2B5EF4-FFF2-40B4-BE49-F238E27FC236}">
              <a16:creationId xmlns:a16="http://schemas.microsoft.com/office/drawing/2014/main" id="{6540B5AE-0DE7-4B6B-858E-26833F56E78F}"/>
            </a:ext>
          </a:extLst>
        </xdr:cNvPr>
        <xdr:cNvSpPr>
          <a:spLocks noGrp="1"/>
        </xdr:cNvSpPr>
      </xdr:nvSpPr>
      <xdr:spPr>
        <a:xfrm>
          <a:off x="247650" y="366268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241300</xdr:colOff>
      <xdr:row>90</xdr:row>
      <xdr:rowOff>76200</xdr:rowOff>
    </xdr:from>
    <xdr:to>
      <xdr:col>0</xdr:col>
      <xdr:colOff>241300</xdr:colOff>
      <xdr:row>90</xdr:row>
      <xdr:rowOff>146050</xdr:rowOff>
    </xdr:to>
    <xdr:sp macro="" textlink="">
      <xdr:nvSpPr>
        <xdr:cNvPr id="11" name="Oval 57">
          <a:extLst>
            <a:ext uri="{FF2B5EF4-FFF2-40B4-BE49-F238E27FC236}">
              <a16:creationId xmlns:a16="http://schemas.microsoft.com/office/drawing/2014/main" id="{E883330D-719E-47B5-98AA-6730FD77282A}"/>
            </a:ext>
          </a:extLst>
        </xdr:cNvPr>
        <xdr:cNvSpPr>
          <a:spLocks noGrp="1"/>
        </xdr:cNvSpPr>
      </xdr:nvSpPr>
      <xdr:spPr>
        <a:xfrm>
          <a:off x="241300" y="1880235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twoCellAnchor editAs="oneCell">
    <xdr:from>
      <xdr:col>0</xdr:col>
      <xdr:colOff>234950</xdr:colOff>
      <xdr:row>108</xdr:row>
      <xdr:rowOff>69850</xdr:rowOff>
    </xdr:from>
    <xdr:to>
      <xdr:col>0</xdr:col>
      <xdr:colOff>234950</xdr:colOff>
      <xdr:row>108</xdr:row>
      <xdr:rowOff>139700</xdr:rowOff>
    </xdr:to>
    <xdr:sp macro="" textlink="">
      <xdr:nvSpPr>
        <xdr:cNvPr id="12" name="Oval 58">
          <a:extLst>
            <a:ext uri="{FF2B5EF4-FFF2-40B4-BE49-F238E27FC236}">
              <a16:creationId xmlns:a16="http://schemas.microsoft.com/office/drawing/2014/main" id="{33C8D0ED-89D1-4B0B-A16A-056EA112B52A}"/>
            </a:ext>
          </a:extLst>
        </xdr:cNvPr>
        <xdr:cNvSpPr>
          <a:spLocks noGrp="1"/>
        </xdr:cNvSpPr>
      </xdr:nvSpPr>
      <xdr:spPr>
        <a:xfrm>
          <a:off x="234950" y="22440900"/>
          <a:ext cx="69850" cy="69850"/>
        </a:xfrm>
        <a:prstGeom prst="ellipse">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anchor="t"/>
        <a:lstStyle/>
        <a:p>
          <a:pPr algn="l">
            <a:buNone/>
          </a:pPr>
          <a:endParaRPr/>
        </a:p>
      </xdr:txBody>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XFC91"/>
  <sheetViews>
    <sheetView showGridLines="0" topLeftCell="A4" zoomScale="50" zoomScaleNormal="50" workbookViewId="0">
      <selection activeCell="I8" sqref="I8"/>
    </sheetView>
  </sheetViews>
  <sheetFormatPr defaultRowHeight="14"/>
  <cols>
    <col min="1" max="1" width="3.33203125" style="1" customWidth="1"/>
    <col min="2" max="2" width="30.4140625" style="1" customWidth="1"/>
    <col min="3" max="3" width="62.1640625" style="1" customWidth="1"/>
    <col min="4" max="4" width="19" style="1" customWidth="1"/>
    <col min="5" max="5" width="19.33203125" style="1" customWidth="1"/>
    <col min="6" max="6" width="22.08203125" style="1" customWidth="1"/>
    <col min="7" max="11" width="16.4140625" style="1" customWidth="1"/>
    <col min="12" max="13" width="11" style="1" hidden="1" customWidth="1"/>
    <col min="14" max="27" width="11.08203125" style="1" hidden="1" customWidth="1"/>
    <col min="28" max="16383" width="3.33203125" style="1" hidden="1" customWidth="1"/>
    <col min="16384" max="16384" width="5.25" style="1" hidden="1" customWidth="1"/>
  </cols>
  <sheetData>
    <row r="1" spans="1:28" ht="66.5" customHeight="1">
      <c r="A1" s="12"/>
      <c r="B1" s="13" t="s">
        <v>29</v>
      </c>
      <c r="C1" s="14"/>
      <c r="D1" s="14"/>
      <c r="E1" s="14"/>
      <c r="F1" s="14"/>
      <c r="G1" s="14"/>
      <c r="H1" s="12"/>
      <c r="I1" s="15"/>
      <c r="J1" s="12"/>
      <c r="K1" s="12"/>
      <c r="L1" s="12"/>
      <c r="M1" s="12"/>
      <c r="N1" s="12"/>
      <c r="O1" s="12"/>
      <c r="P1" s="12"/>
      <c r="Q1" s="12"/>
      <c r="R1" s="12"/>
      <c r="S1" s="12"/>
      <c r="T1" s="12"/>
      <c r="U1" s="12"/>
      <c r="V1" s="12"/>
      <c r="W1" s="12"/>
      <c r="X1" s="12"/>
      <c r="Y1" s="12"/>
      <c r="Z1" s="16"/>
      <c r="AA1" s="16"/>
      <c r="AB1" s="16"/>
    </row>
    <row r="2" spans="1:28" ht="313.5" customHeight="1">
      <c r="A2" s="12"/>
      <c r="B2" s="131" t="s">
        <v>30</v>
      </c>
      <c r="C2" s="131"/>
      <c r="D2" s="131"/>
      <c r="E2" s="131"/>
      <c r="F2" s="131"/>
      <c r="G2" s="131"/>
      <c r="H2" s="131"/>
      <c r="I2" s="131"/>
      <c r="J2" s="131"/>
      <c r="K2" s="131"/>
      <c r="L2" s="12"/>
      <c r="M2" s="12"/>
      <c r="N2" s="12"/>
      <c r="O2" s="12"/>
      <c r="P2" s="12"/>
      <c r="Q2" s="12"/>
      <c r="R2" s="12"/>
      <c r="S2" s="12"/>
      <c r="T2" s="12"/>
      <c r="U2" s="12"/>
      <c r="V2" s="12"/>
      <c r="W2" s="12"/>
      <c r="X2" s="12"/>
      <c r="Y2" s="12"/>
      <c r="Z2" s="12"/>
      <c r="AA2" s="12"/>
      <c r="AB2" s="12"/>
    </row>
    <row r="3" spans="1:28" ht="20.5" customHeight="1">
      <c r="A3" s="17"/>
      <c r="B3" s="18" t="s">
        <v>22</v>
      </c>
      <c r="C3" s="18" t="s">
        <v>31</v>
      </c>
      <c r="D3" s="18" t="s">
        <v>23</v>
      </c>
      <c r="E3" s="18" t="s">
        <v>32</v>
      </c>
      <c r="F3" s="18" t="s">
        <v>33</v>
      </c>
      <c r="G3" s="19"/>
      <c r="H3" s="19"/>
      <c r="I3" s="20"/>
      <c r="J3" s="21"/>
      <c r="K3" s="21"/>
      <c r="L3" s="21"/>
      <c r="M3" s="21"/>
      <c r="N3" s="21"/>
      <c r="O3" s="21"/>
      <c r="P3" s="21"/>
      <c r="Q3" s="21"/>
      <c r="R3" s="21"/>
      <c r="S3" s="21"/>
      <c r="T3" s="21"/>
      <c r="U3" s="21"/>
      <c r="V3" s="21"/>
      <c r="W3" s="21"/>
      <c r="X3" s="21"/>
      <c r="Y3" s="21"/>
      <c r="Z3" s="21"/>
      <c r="AA3" s="21"/>
      <c r="AB3" s="21"/>
    </row>
    <row r="4" spans="1:28" ht="66.5" customHeight="1" thickBot="1">
      <c r="A4" s="22"/>
      <c r="B4" s="23"/>
      <c r="C4" s="23"/>
      <c r="D4" s="24"/>
      <c r="E4" s="24"/>
      <c r="F4" s="24"/>
      <c r="J4" s="25"/>
      <c r="L4" s="25"/>
      <c r="S4" s="25"/>
      <c r="T4" s="25"/>
      <c r="U4" s="25"/>
      <c r="V4" s="25"/>
      <c r="W4" s="25"/>
      <c r="X4" s="25"/>
      <c r="Y4" s="25"/>
      <c r="Z4" s="25"/>
      <c r="AA4" s="25"/>
      <c r="AB4" s="25"/>
    </row>
    <row r="5" spans="1:28" ht="66.5" customHeight="1" thickBot="1">
      <c r="A5" s="17"/>
      <c r="B5" s="26"/>
      <c r="C5" s="27"/>
      <c r="D5" s="27"/>
      <c r="E5" s="27"/>
      <c r="F5" s="19"/>
      <c r="G5" s="19"/>
      <c r="H5" s="19"/>
      <c r="I5" s="20"/>
      <c r="J5" s="21"/>
      <c r="K5" s="21"/>
      <c r="L5" s="21"/>
      <c r="M5" s="21"/>
      <c r="N5" s="21"/>
      <c r="O5" s="21"/>
      <c r="P5" s="21"/>
      <c r="Q5" s="21"/>
      <c r="R5" s="21"/>
      <c r="S5" s="21"/>
      <c r="T5" s="21"/>
      <c r="U5" s="21"/>
      <c r="V5" s="21"/>
      <c r="W5" s="21"/>
      <c r="X5" s="21"/>
      <c r="Y5" s="21"/>
      <c r="Z5" s="21"/>
      <c r="AA5" s="21"/>
      <c r="AB5" s="21"/>
    </row>
    <row r="6" spans="1:28" ht="66.5" customHeight="1">
      <c r="A6" s="28"/>
      <c r="B6" s="29"/>
      <c r="C6" s="29"/>
      <c r="D6" s="30" t="s">
        <v>34</v>
      </c>
      <c r="E6" s="31" t="s">
        <v>1</v>
      </c>
      <c r="F6" s="32" t="s">
        <v>2</v>
      </c>
      <c r="G6" s="33" t="s">
        <v>3</v>
      </c>
      <c r="H6" s="34" t="s">
        <v>4</v>
      </c>
      <c r="I6" s="35" t="s">
        <v>5</v>
      </c>
      <c r="J6" s="28"/>
      <c r="K6" s="28"/>
      <c r="L6" s="28"/>
      <c r="M6" s="28"/>
    </row>
    <row r="7" spans="1:28" ht="46.5" customHeight="1" thickBot="1">
      <c r="A7" s="28"/>
      <c r="B7" s="36"/>
      <c r="C7" s="93" t="s">
        <v>321</v>
      </c>
      <c r="D7" s="37"/>
      <c r="E7" s="38" t="s">
        <v>127</v>
      </c>
      <c r="F7" s="38" t="s">
        <v>128</v>
      </c>
      <c r="G7" s="38" t="s">
        <v>129</v>
      </c>
      <c r="H7" s="38" t="s">
        <v>130</v>
      </c>
      <c r="I7" s="38" t="s">
        <v>131</v>
      </c>
      <c r="J7" s="28"/>
      <c r="K7" s="28"/>
      <c r="L7" s="28"/>
      <c r="M7" s="28"/>
    </row>
    <row r="8" spans="1:28" ht="66.5" customHeight="1">
      <c r="A8" s="28"/>
      <c r="B8" s="132" t="s">
        <v>35</v>
      </c>
      <c r="C8" s="39" t="s">
        <v>36</v>
      </c>
      <c r="D8" s="40">
        <f>SUM(E8:I8)</f>
        <v>2</v>
      </c>
      <c r="E8" s="41"/>
      <c r="F8" s="41">
        <v>2</v>
      </c>
      <c r="G8" s="41"/>
      <c r="H8" s="41"/>
      <c r="I8" s="41"/>
      <c r="J8" s="28"/>
      <c r="K8" s="28"/>
      <c r="L8" s="28"/>
      <c r="M8" s="28"/>
    </row>
    <row r="9" spans="1:28" ht="66.5" customHeight="1">
      <c r="A9" s="28"/>
      <c r="B9" s="133"/>
      <c r="C9" s="42" t="s">
        <v>37</v>
      </c>
      <c r="D9" s="40">
        <f t="shared" ref="D9:D89" si="0">SUM(E9:I9)</f>
        <v>0</v>
      </c>
      <c r="E9" s="41"/>
      <c r="F9" s="41"/>
      <c r="G9" s="41"/>
      <c r="H9" s="41"/>
      <c r="I9" s="41"/>
      <c r="J9" s="28"/>
      <c r="K9" s="28"/>
      <c r="L9" s="28"/>
      <c r="M9" s="28"/>
    </row>
    <row r="10" spans="1:28" ht="66.5" customHeight="1">
      <c r="A10" s="28"/>
      <c r="B10" s="133"/>
      <c r="C10" s="43" t="s">
        <v>38</v>
      </c>
      <c r="D10" s="44">
        <f t="shared" si="0"/>
        <v>0</v>
      </c>
      <c r="E10" s="45"/>
      <c r="F10" s="45"/>
      <c r="G10" s="45"/>
      <c r="H10" s="45"/>
      <c r="I10" s="45"/>
      <c r="J10" s="28"/>
      <c r="K10" s="28"/>
      <c r="L10" s="28"/>
      <c r="M10" s="28"/>
    </row>
    <row r="11" spans="1:28" ht="66.5" customHeight="1">
      <c r="A11" s="28"/>
      <c r="B11" s="133"/>
      <c r="C11" s="42" t="s">
        <v>39</v>
      </c>
      <c r="D11" s="44">
        <f t="shared" si="0"/>
        <v>0</v>
      </c>
      <c r="E11" s="45"/>
      <c r="F11" s="45"/>
      <c r="G11" s="45"/>
      <c r="H11" s="45"/>
      <c r="I11" s="45"/>
      <c r="J11" s="28"/>
      <c r="K11" s="28"/>
      <c r="L11" s="28"/>
      <c r="M11" s="28"/>
    </row>
    <row r="12" spans="1:28" ht="66.5" customHeight="1">
      <c r="A12" s="28"/>
      <c r="B12" s="133"/>
      <c r="C12" s="42" t="s">
        <v>40</v>
      </c>
      <c r="D12" s="44">
        <f t="shared" si="0"/>
        <v>0</v>
      </c>
      <c r="E12" s="45"/>
      <c r="F12" s="45"/>
      <c r="G12" s="45"/>
      <c r="H12" s="45"/>
      <c r="I12" s="45"/>
      <c r="J12" s="28"/>
      <c r="K12" s="28"/>
      <c r="L12" s="28"/>
      <c r="M12" s="28"/>
    </row>
    <row r="13" spans="1:28" ht="66.5" customHeight="1">
      <c r="A13" s="28"/>
      <c r="B13" s="133"/>
      <c r="C13" s="42" t="s">
        <v>41</v>
      </c>
      <c r="D13" s="44">
        <f t="shared" si="0"/>
        <v>0</v>
      </c>
      <c r="E13" s="45"/>
      <c r="F13" s="45"/>
      <c r="G13" s="45"/>
      <c r="H13" s="45"/>
      <c r="I13" s="45"/>
      <c r="J13" s="28"/>
      <c r="K13" s="28"/>
      <c r="L13" s="28"/>
      <c r="M13" s="28"/>
    </row>
    <row r="14" spans="1:28" ht="66.5" customHeight="1" thickBot="1">
      <c r="A14" s="28"/>
      <c r="B14" s="134"/>
      <c r="C14" s="46" t="s">
        <v>42</v>
      </c>
      <c r="D14" s="47">
        <f t="shared" si="0"/>
        <v>0</v>
      </c>
      <c r="E14" s="48"/>
      <c r="F14" s="48"/>
      <c r="G14" s="48"/>
      <c r="H14" s="48"/>
      <c r="I14" s="48"/>
      <c r="J14" s="28"/>
      <c r="K14" s="28"/>
      <c r="L14" s="28"/>
      <c r="M14" s="28"/>
    </row>
    <row r="15" spans="1:28" ht="66.5" customHeight="1">
      <c r="A15" s="28"/>
      <c r="B15" s="132" t="s">
        <v>43</v>
      </c>
      <c r="C15" s="49" t="s">
        <v>44</v>
      </c>
      <c r="D15" s="40">
        <f t="shared" si="0"/>
        <v>0</v>
      </c>
      <c r="E15" s="41"/>
      <c r="F15" s="41"/>
      <c r="G15" s="41"/>
      <c r="H15" s="41"/>
      <c r="I15" s="41"/>
      <c r="J15" s="28"/>
      <c r="K15" s="28"/>
      <c r="L15" s="28"/>
      <c r="M15" s="28"/>
    </row>
    <row r="16" spans="1:28" ht="66.5" customHeight="1">
      <c r="A16" s="28"/>
      <c r="B16" s="133"/>
      <c r="C16" s="42" t="s">
        <v>45</v>
      </c>
      <c r="D16" s="44">
        <f t="shared" si="0"/>
        <v>0</v>
      </c>
      <c r="E16" s="45"/>
      <c r="F16" s="45"/>
      <c r="G16" s="45"/>
      <c r="H16" s="45"/>
      <c r="I16" s="45"/>
      <c r="J16" s="28"/>
      <c r="K16" s="28"/>
      <c r="L16" s="28"/>
      <c r="M16" s="28"/>
    </row>
    <row r="17" spans="1:13" ht="66.5" customHeight="1">
      <c r="A17" s="28"/>
      <c r="B17" s="133"/>
      <c r="C17" s="42" t="s">
        <v>46</v>
      </c>
      <c r="D17" s="44">
        <f t="shared" si="0"/>
        <v>0</v>
      </c>
      <c r="E17" s="45"/>
      <c r="F17" s="45"/>
      <c r="G17" s="45"/>
      <c r="H17" s="45"/>
      <c r="I17" s="45"/>
      <c r="J17" s="28"/>
      <c r="K17" s="28"/>
      <c r="L17" s="28"/>
      <c r="M17" s="28"/>
    </row>
    <row r="18" spans="1:13" ht="66.5" customHeight="1">
      <c r="A18" s="28"/>
      <c r="B18" s="133"/>
      <c r="C18" s="42" t="s">
        <v>47</v>
      </c>
      <c r="D18" s="44">
        <f t="shared" si="0"/>
        <v>0</v>
      </c>
      <c r="E18" s="45"/>
      <c r="F18" s="45"/>
      <c r="G18" s="45"/>
      <c r="H18" s="45"/>
      <c r="I18" s="45"/>
      <c r="J18" s="28"/>
      <c r="K18" s="28"/>
      <c r="L18" s="28"/>
      <c r="M18" s="28"/>
    </row>
    <row r="19" spans="1:13" ht="66.5" customHeight="1">
      <c r="A19" s="28"/>
      <c r="B19" s="133"/>
      <c r="C19" s="42" t="s">
        <v>48</v>
      </c>
      <c r="D19" s="44">
        <f t="shared" si="0"/>
        <v>0</v>
      </c>
      <c r="E19" s="45"/>
      <c r="F19" s="45"/>
      <c r="G19" s="45"/>
      <c r="H19" s="45"/>
      <c r="I19" s="45"/>
      <c r="J19" s="28"/>
      <c r="K19" s="28"/>
      <c r="L19" s="28"/>
      <c r="M19" s="28"/>
    </row>
    <row r="20" spans="1:13" ht="66.5" customHeight="1">
      <c r="A20" s="28"/>
      <c r="B20" s="133"/>
      <c r="C20" s="42" t="s">
        <v>49</v>
      </c>
      <c r="D20" s="44">
        <f t="shared" si="0"/>
        <v>0</v>
      </c>
      <c r="E20" s="45"/>
      <c r="F20" s="45"/>
      <c r="G20" s="45"/>
      <c r="H20" s="45"/>
      <c r="I20" s="45"/>
      <c r="J20" s="28"/>
      <c r="K20" s="28"/>
      <c r="L20" s="28"/>
      <c r="M20" s="28"/>
    </row>
    <row r="21" spans="1:13" ht="66.5" customHeight="1">
      <c r="A21" s="28"/>
      <c r="B21" s="133"/>
      <c r="C21" s="42" t="s">
        <v>50</v>
      </c>
      <c r="D21" s="44">
        <f t="shared" si="0"/>
        <v>0</v>
      </c>
      <c r="E21" s="45"/>
      <c r="F21" s="45"/>
      <c r="G21" s="45"/>
      <c r="H21" s="45"/>
      <c r="I21" s="45"/>
      <c r="J21" s="28"/>
      <c r="K21" s="28"/>
      <c r="L21" s="28"/>
      <c r="M21" s="28"/>
    </row>
    <row r="22" spans="1:13" ht="66.5" customHeight="1" thickBot="1">
      <c r="A22" s="28"/>
      <c r="B22" s="134"/>
      <c r="C22" s="42" t="s">
        <v>51</v>
      </c>
      <c r="D22" s="44">
        <f t="shared" si="0"/>
        <v>0</v>
      </c>
      <c r="E22" s="45"/>
      <c r="F22" s="45"/>
      <c r="G22" s="45"/>
      <c r="H22" s="45"/>
      <c r="I22" s="45"/>
      <c r="J22" s="28"/>
      <c r="K22" s="28"/>
      <c r="L22" s="28"/>
      <c r="M22" s="28"/>
    </row>
    <row r="23" spans="1:13" ht="66.5" customHeight="1">
      <c r="A23" s="28"/>
      <c r="B23" s="140" t="s">
        <v>52</v>
      </c>
      <c r="C23" s="39" t="s">
        <v>53</v>
      </c>
      <c r="D23" s="50">
        <f t="shared" si="0"/>
        <v>1</v>
      </c>
      <c r="E23" s="51">
        <v>1</v>
      </c>
      <c r="F23" s="51"/>
      <c r="G23" s="51"/>
      <c r="H23" s="51"/>
      <c r="I23" s="51"/>
      <c r="J23" s="28"/>
      <c r="K23" s="28"/>
      <c r="L23" s="28"/>
      <c r="M23" s="28"/>
    </row>
    <row r="24" spans="1:13" ht="66.5" customHeight="1">
      <c r="A24" s="28"/>
      <c r="B24" s="132"/>
      <c r="C24" s="42" t="s">
        <v>54</v>
      </c>
      <c r="D24" s="44">
        <f t="shared" si="0"/>
        <v>0</v>
      </c>
      <c r="E24" s="45"/>
      <c r="F24" s="45"/>
      <c r="G24" s="45"/>
      <c r="H24" s="45"/>
      <c r="I24" s="45"/>
      <c r="J24" s="28"/>
      <c r="K24" s="28"/>
      <c r="L24" s="28"/>
      <c r="M24" s="28"/>
    </row>
    <row r="25" spans="1:13" ht="66.5" customHeight="1">
      <c r="A25" s="28"/>
      <c r="B25" s="132"/>
      <c r="C25" s="42" t="s">
        <v>55</v>
      </c>
      <c r="D25" s="44">
        <f t="shared" si="0"/>
        <v>0</v>
      </c>
      <c r="E25" s="45"/>
      <c r="F25" s="45"/>
      <c r="G25" s="45"/>
      <c r="H25" s="45"/>
      <c r="I25" s="45"/>
      <c r="J25" s="28"/>
      <c r="K25" s="28"/>
      <c r="L25" s="28"/>
      <c r="M25" s="28"/>
    </row>
    <row r="26" spans="1:13" ht="66.5" customHeight="1">
      <c r="A26" s="28"/>
      <c r="B26" s="132"/>
      <c r="C26" s="42" t="s">
        <v>56</v>
      </c>
      <c r="D26" s="44">
        <f t="shared" si="0"/>
        <v>0</v>
      </c>
      <c r="E26" s="45"/>
      <c r="F26" s="45"/>
      <c r="G26" s="45"/>
      <c r="H26" s="45"/>
      <c r="I26" s="45"/>
      <c r="J26" s="28"/>
      <c r="K26" s="28"/>
      <c r="L26" s="28"/>
      <c r="M26" s="28"/>
    </row>
    <row r="27" spans="1:13" ht="66.5" customHeight="1">
      <c r="A27" s="28"/>
      <c r="B27" s="132"/>
      <c r="C27" s="42" t="s">
        <v>57</v>
      </c>
      <c r="D27" s="44">
        <f t="shared" si="0"/>
        <v>0</v>
      </c>
      <c r="E27" s="45"/>
      <c r="F27" s="45"/>
      <c r="G27" s="45"/>
      <c r="H27" s="45"/>
      <c r="I27" s="45"/>
      <c r="J27" s="28"/>
      <c r="K27" s="28"/>
      <c r="L27" s="28"/>
      <c r="M27" s="28"/>
    </row>
    <row r="28" spans="1:13" ht="66.5" customHeight="1">
      <c r="A28" s="28"/>
      <c r="B28" s="132"/>
      <c r="C28" s="42" t="s">
        <v>58</v>
      </c>
      <c r="D28" s="44">
        <f t="shared" si="0"/>
        <v>0</v>
      </c>
      <c r="E28" s="45"/>
      <c r="F28" s="45"/>
      <c r="G28" s="45"/>
      <c r="H28" s="45"/>
      <c r="I28" s="45"/>
      <c r="J28" s="28"/>
      <c r="K28" s="28"/>
      <c r="L28" s="28"/>
      <c r="M28" s="28"/>
    </row>
    <row r="29" spans="1:13" ht="66.5" customHeight="1">
      <c r="A29" s="28"/>
      <c r="B29" s="132"/>
      <c r="C29" s="42" t="s">
        <v>59</v>
      </c>
      <c r="D29" s="44">
        <f t="shared" si="0"/>
        <v>0</v>
      </c>
      <c r="E29" s="45"/>
      <c r="F29" s="45"/>
      <c r="G29" s="45"/>
      <c r="H29" s="45"/>
      <c r="I29" s="45"/>
      <c r="J29" s="28"/>
      <c r="K29" s="28"/>
      <c r="L29" s="28"/>
      <c r="M29" s="28"/>
    </row>
    <row r="30" spans="1:13" ht="66.5" customHeight="1" thickBot="1">
      <c r="A30" s="28"/>
      <c r="B30" s="132"/>
      <c r="C30" s="42" t="s">
        <v>60</v>
      </c>
      <c r="D30" s="44">
        <f t="shared" si="0"/>
        <v>0</v>
      </c>
      <c r="E30" s="45"/>
      <c r="F30" s="45"/>
      <c r="G30" s="45"/>
      <c r="H30" s="45"/>
      <c r="I30" s="45"/>
      <c r="J30" s="28"/>
      <c r="K30" s="28"/>
      <c r="L30" s="28"/>
      <c r="M30" s="28"/>
    </row>
    <row r="31" spans="1:13" ht="66.5" customHeight="1" thickBot="1">
      <c r="A31" s="28"/>
      <c r="B31" s="135" t="s">
        <v>61</v>
      </c>
      <c r="C31" s="52" t="s">
        <v>62</v>
      </c>
      <c r="D31" s="44">
        <f t="shared" si="0"/>
        <v>0</v>
      </c>
      <c r="E31" s="41"/>
      <c r="F31" s="41"/>
      <c r="G31" s="41"/>
      <c r="H31" s="41"/>
      <c r="I31" s="41"/>
      <c r="J31" s="28"/>
      <c r="K31" s="28"/>
      <c r="L31" s="28"/>
      <c r="M31" s="28"/>
    </row>
    <row r="32" spans="1:13" ht="66.5" customHeight="1" thickBot="1">
      <c r="A32" s="28"/>
      <c r="B32" s="136"/>
      <c r="C32" s="52" t="s">
        <v>63</v>
      </c>
      <c r="D32" s="44">
        <f t="shared" si="0"/>
        <v>0</v>
      </c>
      <c r="E32" s="41"/>
      <c r="F32" s="41"/>
      <c r="G32" s="41"/>
      <c r="H32" s="41"/>
      <c r="I32" s="41"/>
      <c r="J32" s="28"/>
      <c r="K32" s="28"/>
      <c r="L32" s="28"/>
      <c r="M32" s="28"/>
    </row>
    <row r="33" spans="1:13" ht="66.5" customHeight="1" thickBot="1">
      <c r="A33" s="28"/>
      <c r="B33" s="136"/>
      <c r="C33" s="52" t="s">
        <v>64</v>
      </c>
      <c r="D33" s="44">
        <f t="shared" si="0"/>
        <v>0</v>
      </c>
      <c r="E33" s="41"/>
      <c r="F33" s="41"/>
      <c r="G33" s="41"/>
      <c r="H33" s="41"/>
      <c r="I33" s="41"/>
      <c r="J33" s="28"/>
      <c r="K33" s="28"/>
      <c r="L33" s="28"/>
      <c r="M33" s="28"/>
    </row>
    <row r="34" spans="1:13" ht="66.5" customHeight="1" thickBot="1">
      <c r="A34" s="28"/>
      <c r="B34" s="136"/>
      <c r="C34" s="52" t="s">
        <v>65</v>
      </c>
      <c r="D34" s="44">
        <f t="shared" si="0"/>
        <v>0</v>
      </c>
      <c r="E34" s="41"/>
      <c r="F34" s="41"/>
      <c r="G34" s="41"/>
      <c r="H34" s="41"/>
      <c r="I34" s="41"/>
      <c r="J34" s="28"/>
      <c r="K34" s="28"/>
      <c r="L34" s="28"/>
      <c r="M34" s="28"/>
    </row>
    <row r="35" spans="1:13" ht="66.5" customHeight="1" thickBot="1">
      <c r="A35" s="28"/>
      <c r="B35" s="136"/>
      <c r="C35" s="52" t="s">
        <v>66</v>
      </c>
      <c r="D35" s="44">
        <f t="shared" si="0"/>
        <v>0</v>
      </c>
      <c r="E35" s="41"/>
      <c r="F35" s="41"/>
      <c r="G35" s="41"/>
      <c r="H35" s="41"/>
      <c r="I35" s="41"/>
      <c r="J35" s="28"/>
      <c r="K35" s="28"/>
      <c r="L35" s="28"/>
      <c r="M35" s="28"/>
    </row>
    <row r="36" spans="1:13" ht="66.5" customHeight="1" thickBot="1">
      <c r="A36" s="28"/>
      <c r="B36" s="136"/>
      <c r="C36" s="52" t="s">
        <v>67</v>
      </c>
      <c r="D36" s="44">
        <f t="shared" si="0"/>
        <v>0</v>
      </c>
      <c r="E36" s="41"/>
      <c r="F36" s="41"/>
      <c r="G36" s="41"/>
      <c r="H36" s="41"/>
      <c r="I36" s="41"/>
      <c r="J36" s="28"/>
      <c r="K36" s="28"/>
      <c r="L36" s="28"/>
      <c r="M36" s="28"/>
    </row>
    <row r="37" spans="1:13" ht="66.5" customHeight="1" thickBot="1">
      <c r="A37" s="28"/>
      <c r="B37" s="136"/>
      <c r="C37" s="52" t="s">
        <v>68</v>
      </c>
      <c r="D37" s="44">
        <f t="shared" si="0"/>
        <v>0</v>
      </c>
      <c r="E37" s="41"/>
      <c r="F37" s="41"/>
      <c r="G37" s="41"/>
      <c r="H37" s="41"/>
      <c r="I37" s="41"/>
      <c r="J37" s="28"/>
      <c r="K37" s="28"/>
      <c r="L37" s="28"/>
      <c r="M37" s="28"/>
    </row>
    <row r="38" spans="1:13" ht="66.5" customHeight="1">
      <c r="A38" s="28"/>
      <c r="B38" s="136"/>
      <c r="C38" s="52" t="s">
        <v>69</v>
      </c>
      <c r="D38" s="44">
        <f t="shared" si="0"/>
        <v>0</v>
      </c>
      <c r="E38" s="41"/>
      <c r="F38" s="41"/>
      <c r="G38" s="41"/>
      <c r="H38" s="41"/>
      <c r="I38" s="41"/>
      <c r="J38" s="28"/>
      <c r="K38" s="28"/>
      <c r="L38" s="28"/>
      <c r="M38" s="28"/>
    </row>
    <row r="39" spans="1:13" ht="66.5" customHeight="1">
      <c r="A39" s="28"/>
      <c r="B39" s="136"/>
      <c r="C39" s="53" t="s">
        <v>70</v>
      </c>
      <c r="D39" s="44">
        <f t="shared" si="0"/>
        <v>0</v>
      </c>
      <c r="E39" s="41"/>
      <c r="F39" s="41"/>
      <c r="G39" s="41"/>
      <c r="H39" s="41"/>
      <c r="I39" s="41"/>
      <c r="J39" s="28"/>
      <c r="K39" s="28"/>
      <c r="L39" s="28"/>
      <c r="M39" s="28"/>
    </row>
    <row r="40" spans="1:13" ht="66.5" customHeight="1">
      <c r="A40" s="28"/>
      <c r="B40" s="136"/>
      <c r="C40" s="53" t="s">
        <v>71</v>
      </c>
      <c r="D40" s="44">
        <f t="shared" si="0"/>
        <v>0</v>
      </c>
      <c r="E40" s="41"/>
      <c r="F40" s="41"/>
      <c r="G40" s="41"/>
      <c r="H40" s="41"/>
      <c r="I40" s="41"/>
      <c r="J40" s="28"/>
      <c r="K40" s="28"/>
      <c r="L40" s="28"/>
      <c r="M40" s="28"/>
    </row>
    <row r="41" spans="1:13" ht="66.5" customHeight="1">
      <c r="A41" s="28"/>
      <c r="B41" s="136"/>
      <c r="C41" s="53" t="s">
        <v>72</v>
      </c>
      <c r="D41" s="44">
        <f t="shared" si="0"/>
        <v>0</v>
      </c>
      <c r="E41" s="41"/>
      <c r="F41" s="41"/>
      <c r="G41" s="41"/>
      <c r="H41" s="41"/>
      <c r="I41" s="41"/>
      <c r="J41" s="28"/>
      <c r="K41" s="28"/>
      <c r="L41" s="28"/>
      <c r="M41" s="28"/>
    </row>
    <row r="42" spans="1:13" ht="66.5" customHeight="1" thickBot="1">
      <c r="A42" s="28"/>
      <c r="B42" s="137"/>
      <c r="C42" s="53" t="s">
        <v>73</v>
      </c>
      <c r="D42" s="44">
        <f t="shared" si="0"/>
        <v>0</v>
      </c>
      <c r="E42" s="41"/>
      <c r="F42" s="41"/>
      <c r="G42" s="41"/>
      <c r="H42" s="41"/>
      <c r="I42" s="41"/>
      <c r="J42" s="28"/>
      <c r="K42" s="28"/>
      <c r="L42" s="28"/>
      <c r="M42" s="28"/>
    </row>
    <row r="43" spans="1:13" ht="66.5" customHeight="1">
      <c r="A43" s="28"/>
      <c r="B43" s="138" t="s">
        <v>74</v>
      </c>
      <c r="C43" s="53" t="s">
        <v>75</v>
      </c>
      <c r="D43" s="44">
        <f t="shared" si="0"/>
        <v>0</v>
      </c>
      <c r="E43" s="41"/>
      <c r="F43" s="41"/>
      <c r="G43" s="41"/>
      <c r="H43" s="41"/>
      <c r="I43" s="41"/>
      <c r="J43" s="28"/>
      <c r="K43" s="28"/>
      <c r="L43" s="28"/>
      <c r="M43" s="28"/>
    </row>
    <row r="44" spans="1:13" ht="66.5" customHeight="1">
      <c r="A44" s="28"/>
      <c r="B44" s="132"/>
      <c r="C44" s="53" t="s">
        <v>76</v>
      </c>
      <c r="D44" s="44">
        <f t="shared" si="0"/>
        <v>0</v>
      </c>
      <c r="E44" s="41"/>
      <c r="F44" s="41"/>
      <c r="G44" s="41"/>
      <c r="H44" s="41"/>
      <c r="I44" s="41"/>
      <c r="J44" s="28"/>
      <c r="K44" s="28"/>
      <c r="L44" s="28"/>
      <c r="M44" s="28"/>
    </row>
    <row r="45" spans="1:13" ht="66.5" customHeight="1">
      <c r="A45" s="28"/>
      <c r="B45" s="132"/>
      <c r="C45" s="53" t="s">
        <v>77</v>
      </c>
      <c r="D45" s="44">
        <f t="shared" si="0"/>
        <v>0</v>
      </c>
      <c r="E45" s="41"/>
      <c r="F45" s="41"/>
      <c r="G45" s="41"/>
      <c r="H45" s="41"/>
      <c r="I45" s="41"/>
      <c r="J45" s="28"/>
      <c r="K45" s="28"/>
      <c r="L45" s="28"/>
      <c r="M45" s="28"/>
    </row>
    <row r="46" spans="1:13" ht="66.5" customHeight="1">
      <c r="A46" s="28"/>
      <c r="B46" s="132"/>
      <c r="C46" s="53" t="s">
        <v>78</v>
      </c>
      <c r="D46" s="44">
        <f t="shared" si="0"/>
        <v>0</v>
      </c>
      <c r="E46" s="41"/>
      <c r="F46" s="41"/>
      <c r="G46" s="41"/>
      <c r="H46" s="41"/>
      <c r="I46" s="41"/>
      <c r="J46" s="28"/>
      <c r="K46" s="28"/>
      <c r="L46" s="28"/>
      <c r="M46" s="28"/>
    </row>
    <row r="47" spans="1:13" ht="66.5" customHeight="1">
      <c r="A47" s="28"/>
      <c r="B47" s="132"/>
      <c r="C47" s="53" t="s">
        <v>79</v>
      </c>
      <c r="D47" s="44">
        <f t="shared" si="0"/>
        <v>0</v>
      </c>
      <c r="E47" s="41"/>
      <c r="F47" s="41"/>
      <c r="G47" s="41"/>
      <c r="H47" s="41"/>
      <c r="I47" s="41"/>
      <c r="J47" s="28"/>
      <c r="K47" s="28"/>
      <c r="L47" s="28"/>
      <c r="M47" s="28"/>
    </row>
    <row r="48" spans="1:13" ht="66.5" customHeight="1">
      <c r="A48" s="28"/>
      <c r="B48" s="132"/>
      <c r="C48" s="53" t="s">
        <v>80</v>
      </c>
      <c r="D48" s="44">
        <f t="shared" si="0"/>
        <v>0</v>
      </c>
      <c r="E48" s="41"/>
      <c r="F48" s="41"/>
      <c r="G48" s="41"/>
      <c r="H48" s="41"/>
      <c r="I48" s="41"/>
      <c r="J48" s="28"/>
      <c r="K48" s="28"/>
      <c r="L48" s="28"/>
      <c r="M48" s="28"/>
    </row>
    <row r="49" spans="1:13" ht="66.5" customHeight="1">
      <c r="A49" s="28"/>
      <c r="B49" s="132"/>
      <c r="C49" s="53" t="s">
        <v>81</v>
      </c>
      <c r="D49" s="44">
        <f t="shared" si="0"/>
        <v>0</v>
      </c>
      <c r="E49" s="41"/>
      <c r="F49" s="41"/>
      <c r="G49" s="41"/>
      <c r="H49" s="41"/>
      <c r="I49" s="41"/>
      <c r="J49" s="28"/>
      <c r="K49" s="28"/>
      <c r="L49" s="28"/>
      <c r="M49" s="28"/>
    </row>
    <row r="50" spans="1:13" ht="66.5" customHeight="1" thickBot="1">
      <c r="A50" s="28"/>
      <c r="B50" s="133"/>
      <c r="C50" s="53" t="s">
        <v>82</v>
      </c>
      <c r="D50" s="44">
        <f t="shared" si="0"/>
        <v>0</v>
      </c>
      <c r="E50" s="41"/>
      <c r="F50" s="41"/>
      <c r="G50" s="41"/>
      <c r="H50" s="41"/>
      <c r="I50" s="41"/>
      <c r="J50" s="28"/>
      <c r="K50" s="28"/>
      <c r="L50" s="28"/>
      <c r="M50" s="28"/>
    </row>
    <row r="51" spans="1:13" ht="66.5" customHeight="1">
      <c r="A51" s="28"/>
      <c r="B51" s="135" t="s">
        <v>83</v>
      </c>
      <c r="C51" s="53" t="s">
        <v>84</v>
      </c>
      <c r="D51" s="44">
        <f t="shared" si="0"/>
        <v>0</v>
      </c>
      <c r="E51" s="41"/>
      <c r="F51" s="41"/>
      <c r="G51" s="41"/>
      <c r="H51" s="41"/>
      <c r="I51" s="41"/>
      <c r="J51" s="28"/>
      <c r="K51" s="28"/>
      <c r="L51" s="28"/>
      <c r="M51" s="28"/>
    </row>
    <row r="52" spans="1:13" ht="66.5" customHeight="1">
      <c r="A52" s="28"/>
      <c r="B52" s="136"/>
      <c r="C52" s="53" t="s">
        <v>85</v>
      </c>
      <c r="D52" s="44">
        <f t="shared" si="0"/>
        <v>0</v>
      </c>
      <c r="E52" s="41"/>
      <c r="F52" s="41"/>
      <c r="G52" s="41"/>
      <c r="H52" s="41"/>
      <c r="I52" s="41"/>
      <c r="J52" s="28"/>
      <c r="K52" s="28"/>
      <c r="L52" s="28"/>
      <c r="M52" s="28"/>
    </row>
    <row r="53" spans="1:13" ht="66.5" customHeight="1">
      <c r="A53" s="28"/>
      <c r="B53" s="136"/>
      <c r="C53" s="53" t="s">
        <v>86</v>
      </c>
      <c r="D53" s="44">
        <f t="shared" si="0"/>
        <v>0</v>
      </c>
      <c r="E53" s="41"/>
      <c r="F53" s="41"/>
      <c r="G53" s="41"/>
      <c r="H53" s="41"/>
      <c r="I53" s="41"/>
      <c r="J53" s="28"/>
      <c r="K53" s="28"/>
      <c r="L53" s="28"/>
      <c r="M53" s="28"/>
    </row>
    <row r="54" spans="1:13" ht="66.5" customHeight="1">
      <c r="A54" s="28"/>
      <c r="B54" s="136"/>
      <c r="C54" s="53" t="s">
        <v>87</v>
      </c>
      <c r="D54" s="44">
        <f t="shared" si="0"/>
        <v>0</v>
      </c>
      <c r="E54" s="41"/>
      <c r="F54" s="41"/>
      <c r="G54" s="41"/>
      <c r="H54" s="41"/>
      <c r="I54" s="41"/>
      <c r="J54" s="28"/>
      <c r="K54" s="28"/>
      <c r="L54" s="28"/>
      <c r="M54" s="28"/>
    </row>
    <row r="55" spans="1:13" ht="66.5" customHeight="1">
      <c r="A55" s="28"/>
      <c r="B55" s="136"/>
      <c r="C55" s="53" t="s">
        <v>88</v>
      </c>
      <c r="D55" s="44">
        <f t="shared" si="0"/>
        <v>0</v>
      </c>
      <c r="E55" s="41"/>
      <c r="F55" s="41"/>
      <c r="G55" s="41"/>
      <c r="H55" s="41"/>
      <c r="I55" s="41"/>
      <c r="J55" s="28"/>
      <c r="K55" s="28"/>
      <c r="L55" s="28"/>
      <c r="M55" s="28"/>
    </row>
    <row r="56" spans="1:13" ht="66.5" customHeight="1">
      <c r="A56" s="28"/>
      <c r="B56" s="136"/>
      <c r="C56" s="53" t="s">
        <v>89</v>
      </c>
      <c r="D56" s="44">
        <f t="shared" si="0"/>
        <v>0</v>
      </c>
      <c r="E56" s="41"/>
      <c r="F56" s="41"/>
      <c r="G56" s="41"/>
      <c r="H56" s="41"/>
      <c r="I56" s="41"/>
      <c r="J56" s="28"/>
      <c r="K56" s="28"/>
      <c r="L56" s="28"/>
      <c r="M56" s="28"/>
    </row>
    <row r="57" spans="1:13" ht="66.5" customHeight="1">
      <c r="A57" s="28"/>
      <c r="B57" s="136"/>
      <c r="C57" s="53" t="s">
        <v>90</v>
      </c>
      <c r="D57" s="44">
        <f t="shared" si="0"/>
        <v>0</v>
      </c>
      <c r="E57" s="41"/>
      <c r="F57" s="41"/>
      <c r="G57" s="41"/>
      <c r="H57" s="41"/>
      <c r="I57" s="41"/>
      <c r="J57" s="28"/>
      <c r="K57" s="28"/>
      <c r="L57" s="28"/>
      <c r="M57" s="28"/>
    </row>
    <row r="58" spans="1:13" ht="66.5" customHeight="1">
      <c r="A58" s="28"/>
      <c r="B58" s="136"/>
      <c r="C58" s="53" t="s">
        <v>91</v>
      </c>
      <c r="D58" s="44">
        <f t="shared" si="0"/>
        <v>0</v>
      </c>
      <c r="E58" s="41"/>
      <c r="F58" s="41"/>
      <c r="G58" s="41"/>
      <c r="H58" s="41"/>
      <c r="I58" s="41"/>
      <c r="J58" s="28"/>
      <c r="K58" s="28"/>
      <c r="L58" s="28"/>
      <c r="M58" s="28"/>
    </row>
    <row r="59" spans="1:13" ht="66.5" customHeight="1">
      <c r="A59" s="28"/>
      <c r="B59" s="136"/>
      <c r="C59" s="53" t="s">
        <v>92</v>
      </c>
      <c r="D59" s="44">
        <f t="shared" si="0"/>
        <v>0</v>
      </c>
      <c r="E59" s="41"/>
      <c r="F59" s="41"/>
      <c r="G59" s="41"/>
      <c r="H59" s="41"/>
      <c r="I59" s="41"/>
      <c r="J59" s="28"/>
      <c r="K59" s="28"/>
      <c r="L59" s="28"/>
      <c r="M59" s="28"/>
    </row>
    <row r="60" spans="1:13" ht="66.5" customHeight="1">
      <c r="A60" s="28"/>
      <c r="B60" s="136"/>
      <c r="C60" s="53" t="s">
        <v>93</v>
      </c>
      <c r="D60" s="44">
        <f t="shared" si="0"/>
        <v>0</v>
      </c>
      <c r="E60" s="41"/>
      <c r="F60" s="41"/>
      <c r="G60" s="41"/>
      <c r="H60" s="41"/>
      <c r="I60" s="41"/>
      <c r="J60" s="28"/>
      <c r="K60" s="28"/>
      <c r="L60" s="28"/>
      <c r="M60" s="28"/>
    </row>
    <row r="61" spans="1:13" ht="66.5" customHeight="1" thickBot="1">
      <c r="A61" s="28"/>
      <c r="B61" s="137"/>
      <c r="C61" s="53" t="s">
        <v>94</v>
      </c>
      <c r="D61" s="44">
        <f t="shared" si="0"/>
        <v>0</v>
      </c>
      <c r="E61" s="41"/>
      <c r="F61" s="41"/>
      <c r="G61" s="41"/>
      <c r="H61" s="41"/>
      <c r="I61" s="41"/>
      <c r="J61" s="28"/>
      <c r="K61" s="28"/>
      <c r="L61" s="28"/>
      <c r="M61" s="28"/>
    </row>
    <row r="62" spans="1:13" ht="66.5" customHeight="1" thickBot="1">
      <c r="A62" s="28"/>
      <c r="B62" s="135" t="s">
        <v>95</v>
      </c>
      <c r="C62" s="52" t="s">
        <v>96</v>
      </c>
      <c r="D62" s="44">
        <f t="shared" si="0"/>
        <v>0</v>
      </c>
      <c r="E62" s="41"/>
      <c r="F62" s="41"/>
      <c r="G62" s="41"/>
      <c r="H62" s="41"/>
      <c r="I62" s="41"/>
      <c r="J62" s="28"/>
      <c r="K62" s="28"/>
      <c r="L62" s="28"/>
      <c r="M62" s="28"/>
    </row>
    <row r="63" spans="1:13" ht="66.5" customHeight="1" thickBot="1">
      <c r="A63" s="28"/>
      <c r="B63" s="136"/>
      <c r="C63" s="52" t="s">
        <v>97</v>
      </c>
      <c r="D63" s="44">
        <f t="shared" si="0"/>
        <v>0</v>
      </c>
      <c r="E63" s="41"/>
      <c r="F63" s="41"/>
      <c r="G63" s="41"/>
      <c r="H63" s="41"/>
      <c r="I63" s="41"/>
      <c r="J63" s="28"/>
      <c r="K63" s="28"/>
      <c r="L63" s="28"/>
      <c r="M63" s="28"/>
    </row>
    <row r="64" spans="1:13" ht="66.5" customHeight="1" thickBot="1">
      <c r="A64" s="28"/>
      <c r="B64" s="136"/>
      <c r="C64" s="52" t="s">
        <v>98</v>
      </c>
      <c r="D64" s="44">
        <f t="shared" si="0"/>
        <v>0</v>
      </c>
      <c r="E64" s="41"/>
      <c r="F64" s="41"/>
      <c r="G64" s="41"/>
      <c r="H64" s="41"/>
      <c r="I64" s="41"/>
      <c r="J64" s="28"/>
      <c r="K64" s="28"/>
      <c r="L64" s="28"/>
      <c r="M64" s="28"/>
    </row>
    <row r="65" spans="1:13" ht="66.5" customHeight="1" thickBot="1">
      <c r="A65" s="28"/>
      <c r="B65" s="136"/>
      <c r="C65" s="52" t="s">
        <v>99</v>
      </c>
      <c r="D65" s="44">
        <f t="shared" si="0"/>
        <v>0</v>
      </c>
      <c r="E65" s="41"/>
      <c r="F65" s="41"/>
      <c r="G65" s="41"/>
      <c r="H65" s="41"/>
      <c r="I65" s="41"/>
      <c r="J65" s="28"/>
      <c r="K65" s="28"/>
      <c r="L65" s="28"/>
      <c r="M65" s="28"/>
    </row>
    <row r="66" spans="1:13" ht="66.5" customHeight="1" thickBot="1">
      <c r="A66" s="28"/>
      <c r="B66" s="136"/>
      <c r="C66" s="52" t="s">
        <v>100</v>
      </c>
      <c r="D66" s="44">
        <f t="shared" si="0"/>
        <v>0</v>
      </c>
      <c r="E66" s="41"/>
      <c r="F66" s="41"/>
      <c r="G66" s="41"/>
      <c r="H66" s="41"/>
      <c r="I66" s="41"/>
      <c r="J66" s="28"/>
      <c r="K66" s="28"/>
      <c r="L66" s="28"/>
      <c r="M66" s="28"/>
    </row>
    <row r="67" spans="1:13" ht="66.5" customHeight="1" thickBot="1">
      <c r="A67" s="28"/>
      <c r="B67" s="136"/>
      <c r="C67" s="52" t="s">
        <v>101</v>
      </c>
      <c r="D67" s="44">
        <f t="shared" si="0"/>
        <v>0</v>
      </c>
      <c r="E67" s="41"/>
      <c r="F67" s="41"/>
      <c r="G67" s="41"/>
      <c r="H67" s="41"/>
      <c r="I67" s="41"/>
      <c r="J67" s="28"/>
      <c r="K67" s="28"/>
      <c r="L67" s="28"/>
      <c r="M67" s="28"/>
    </row>
    <row r="68" spans="1:13" ht="66.5" customHeight="1" thickBot="1">
      <c r="A68" s="28"/>
      <c r="B68" s="136"/>
      <c r="C68" s="52" t="s">
        <v>102</v>
      </c>
      <c r="D68" s="44">
        <f t="shared" si="0"/>
        <v>0</v>
      </c>
      <c r="E68" s="41"/>
      <c r="F68" s="41"/>
      <c r="G68" s="41"/>
      <c r="H68" s="41"/>
      <c r="I68" s="41"/>
      <c r="J68" s="28"/>
      <c r="K68" s="28"/>
      <c r="L68" s="28"/>
      <c r="M68" s="28"/>
    </row>
    <row r="69" spans="1:13" ht="66.5" customHeight="1" thickBot="1">
      <c r="A69" s="28"/>
      <c r="B69" s="136"/>
      <c r="C69" s="52" t="s">
        <v>103</v>
      </c>
      <c r="D69" s="44">
        <f t="shared" si="0"/>
        <v>0</v>
      </c>
      <c r="E69" s="41"/>
      <c r="F69" s="41"/>
      <c r="G69" s="41"/>
      <c r="H69" s="41"/>
      <c r="I69" s="41"/>
      <c r="J69" s="28"/>
      <c r="K69" s="28"/>
      <c r="L69" s="28"/>
      <c r="M69" s="28"/>
    </row>
    <row r="70" spans="1:13" ht="76" customHeight="1" thickBot="1">
      <c r="A70" s="28"/>
      <c r="B70" s="136"/>
      <c r="C70" s="52" t="s">
        <v>104</v>
      </c>
      <c r="D70" s="44">
        <f t="shared" si="0"/>
        <v>0</v>
      </c>
      <c r="E70" s="41"/>
      <c r="F70" s="41"/>
      <c r="G70" s="41"/>
      <c r="H70" s="41"/>
      <c r="I70" s="41"/>
      <c r="J70" s="28"/>
      <c r="K70" s="28"/>
      <c r="L70" s="28"/>
      <c r="M70" s="28"/>
    </row>
    <row r="71" spans="1:13" ht="66.5" customHeight="1" thickBot="1">
      <c r="A71" s="28"/>
      <c r="B71" s="136"/>
      <c r="C71" s="52" t="s">
        <v>105</v>
      </c>
      <c r="D71" s="44">
        <f t="shared" si="0"/>
        <v>0</v>
      </c>
      <c r="E71" s="41"/>
      <c r="F71" s="41"/>
      <c r="G71" s="41"/>
      <c r="H71" s="41"/>
      <c r="I71" s="41"/>
      <c r="J71" s="28"/>
      <c r="K71" s="28"/>
      <c r="L71" s="28"/>
      <c r="M71" s="28"/>
    </row>
    <row r="72" spans="1:13" ht="66.5" customHeight="1" thickBot="1">
      <c r="A72" s="28"/>
      <c r="B72" s="137"/>
      <c r="C72" s="52" t="s">
        <v>106</v>
      </c>
      <c r="D72" s="44">
        <f t="shared" si="0"/>
        <v>0</v>
      </c>
      <c r="E72" s="41"/>
      <c r="F72" s="41"/>
      <c r="G72" s="41"/>
      <c r="H72" s="41"/>
      <c r="I72" s="41"/>
      <c r="J72" s="28"/>
      <c r="K72" s="28"/>
      <c r="L72" s="28"/>
      <c r="M72" s="28"/>
    </row>
    <row r="73" spans="1:13" ht="66.5" customHeight="1" thickBot="1">
      <c r="A73" s="28"/>
      <c r="B73" s="138" t="s">
        <v>107</v>
      </c>
      <c r="C73" s="52" t="s">
        <v>108</v>
      </c>
      <c r="D73" s="44">
        <f t="shared" si="0"/>
        <v>0</v>
      </c>
      <c r="E73" s="41"/>
      <c r="F73" s="41"/>
      <c r="G73" s="41"/>
      <c r="H73" s="41"/>
      <c r="I73" s="41"/>
      <c r="J73" s="28"/>
      <c r="K73" s="28"/>
      <c r="L73" s="28"/>
      <c r="M73" s="28"/>
    </row>
    <row r="74" spans="1:13" ht="66.5" customHeight="1" thickBot="1">
      <c r="A74" s="28"/>
      <c r="B74" s="132"/>
      <c r="C74" s="52" t="s">
        <v>109</v>
      </c>
      <c r="D74" s="44">
        <f t="shared" si="0"/>
        <v>0</v>
      </c>
      <c r="E74" s="41"/>
      <c r="F74" s="41"/>
      <c r="G74" s="41"/>
      <c r="H74" s="41"/>
      <c r="I74" s="41"/>
      <c r="J74" s="28"/>
      <c r="K74" s="28"/>
      <c r="L74" s="28"/>
      <c r="M74" s="28"/>
    </row>
    <row r="75" spans="1:13" ht="66.5" customHeight="1">
      <c r="A75" s="28"/>
      <c r="B75" s="132"/>
      <c r="C75" s="52" t="s">
        <v>110</v>
      </c>
      <c r="D75" s="44">
        <f t="shared" si="0"/>
        <v>0</v>
      </c>
      <c r="E75" s="41"/>
      <c r="F75" s="41"/>
      <c r="G75" s="41"/>
      <c r="H75" s="41"/>
      <c r="I75" s="41"/>
      <c r="J75" s="28"/>
      <c r="K75" s="28"/>
      <c r="L75" s="28"/>
      <c r="M75" s="28"/>
    </row>
    <row r="76" spans="1:13" ht="66.5" customHeight="1">
      <c r="A76" s="28"/>
      <c r="B76" s="133"/>
      <c r="C76" s="53" t="s">
        <v>111</v>
      </c>
      <c r="D76" s="44">
        <f t="shared" si="0"/>
        <v>0</v>
      </c>
      <c r="E76" s="41"/>
      <c r="F76" s="41"/>
      <c r="G76" s="41"/>
      <c r="H76" s="41"/>
      <c r="I76" s="41"/>
      <c r="J76" s="28"/>
      <c r="K76" s="28"/>
      <c r="L76" s="28"/>
      <c r="M76" s="28"/>
    </row>
    <row r="77" spans="1:13" ht="66.5" customHeight="1">
      <c r="A77" s="28"/>
      <c r="B77" s="133"/>
      <c r="C77" s="53" t="s">
        <v>112</v>
      </c>
      <c r="D77" s="44">
        <f t="shared" si="0"/>
        <v>0</v>
      </c>
      <c r="E77" s="41"/>
      <c r="F77" s="41"/>
      <c r="G77" s="41"/>
      <c r="H77" s="41"/>
      <c r="I77" s="41"/>
      <c r="J77" s="28"/>
      <c r="K77" s="28"/>
      <c r="L77" s="28"/>
      <c r="M77" s="28"/>
    </row>
    <row r="78" spans="1:13" ht="66.5" customHeight="1" thickBot="1">
      <c r="A78" s="28"/>
      <c r="B78" s="139"/>
      <c r="C78" s="53" t="s">
        <v>113</v>
      </c>
      <c r="D78" s="44">
        <f t="shared" si="0"/>
        <v>0</v>
      </c>
      <c r="E78" s="41"/>
      <c r="F78" s="41"/>
      <c r="G78" s="41"/>
      <c r="H78" s="41"/>
      <c r="I78" s="41"/>
      <c r="J78" s="28"/>
      <c r="K78" s="28"/>
      <c r="L78" s="28"/>
      <c r="M78" s="28"/>
    </row>
    <row r="79" spans="1:13" ht="66.5" customHeight="1" thickBot="1">
      <c r="A79" s="28"/>
      <c r="B79" s="138" t="s">
        <v>114</v>
      </c>
      <c r="C79" s="52" t="s">
        <v>115</v>
      </c>
      <c r="D79" s="44">
        <f t="shared" si="0"/>
        <v>0</v>
      </c>
      <c r="E79" s="41"/>
      <c r="F79" s="41"/>
      <c r="G79" s="41"/>
      <c r="H79" s="41"/>
      <c r="I79" s="41"/>
      <c r="J79" s="28"/>
      <c r="K79" s="28"/>
      <c r="L79" s="28"/>
      <c r="M79" s="28"/>
    </row>
    <row r="80" spans="1:13" ht="66.5" customHeight="1" thickBot="1">
      <c r="A80" s="28"/>
      <c r="B80" s="132"/>
      <c r="C80" s="52" t="s">
        <v>116</v>
      </c>
      <c r="D80" s="44">
        <f t="shared" si="0"/>
        <v>0</v>
      </c>
      <c r="E80" s="41"/>
      <c r="F80" s="41"/>
      <c r="G80" s="41"/>
      <c r="H80" s="41"/>
      <c r="I80" s="41"/>
      <c r="J80" s="28"/>
      <c r="K80" s="28"/>
      <c r="L80" s="28"/>
      <c r="M80" s="28"/>
    </row>
    <row r="81" spans="1:13" ht="66.5" customHeight="1" thickBot="1">
      <c r="A81" s="28"/>
      <c r="B81" s="132"/>
      <c r="C81" s="52" t="s">
        <v>117</v>
      </c>
      <c r="D81" s="44">
        <f t="shared" si="0"/>
        <v>0</v>
      </c>
      <c r="E81" s="41"/>
      <c r="F81" s="41"/>
      <c r="G81" s="41"/>
      <c r="H81" s="41"/>
      <c r="I81" s="41"/>
      <c r="J81" s="28"/>
      <c r="K81" s="28"/>
      <c r="L81" s="28"/>
      <c r="M81" s="28"/>
    </row>
    <row r="82" spans="1:13" ht="66.5" customHeight="1" thickBot="1">
      <c r="A82" s="28"/>
      <c r="B82" s="133"/>
      <c r="C82" s="52" t="s">
        <v>118</v>
      </c>
      <c r="D82" s="44">
        <f t="shared" si="0"/>
        <v>0</v>
      </c>
      <c r="E82" s="41"/>
      <c r="F82" s="41"/>
      <c r="G82" s="41"/>
      <c r="H82" s="41"/>
      <c r="I82" s="41"/>
      <c r="J82" s="28"/>
      <c r="K82" s="28"/>
      <c r="L82" s="28"/>
      <c r="M82" s="28"/>
    </row>
    <row r="83" spans="1:13" ht="66.5" customHeight="1" thickBot="1">
      <c r="A83" s="28"/>
      <c r="B83" s="133"/>
      <c r="C83" s="52" t="s">
        <v>119</v>
      </c>
      <c r="D83" s="44">
        <f t="shared" si="0"/>
        <v>0</v>
      </c>
      <c r="E83" s="41"/>
      <c r="F83" s="41"/>
      <c r="G83" s="41"/>
      <c r="H83" s="41"/>
      <c r="I83" s="41"/>
      <c r="J83" s="28"/>
      <c r="K83" s="28"/>
      <c r="L83" s="28"/>
      <c r="M83" s="28"/>
    </row>
    <row r="84" spans="1:13" ht="66.5" customHeight="1" thickBot="1">
      <c r="A84" s="28"/>
      <c r="B84" s="139"/>
      <c r="C84" s="52" t="s">
        <v>120</v>
      </c>
      <c r="D84" s="44">
        <f t="shared" si="0"/>
        <v>0</v>
      </c>
      <c r="E84" s="41"/>
      <c r="F84" s="41"/>
      <c r="G84" s="41"/>
      <c r="H84" s="41"/>
      <c r="I84" s="41"/>
      <c r="J84" s="28"/>
      <c r="K84" s="28"/>
      <c r="L84" s="28"/>
      <c r="M84" s="28"/>
    </row>
    <row r="85" spans="1:13" ht="66.5" customHeight="1">
      <c r="A85" s="28"/>
      <c r="B85" s="138" t="s">
        <v>121</v>
      </c>
      <c r="C85" s="52" t="s">
        <v>122</v>
      </c>
      <c r="D85" s="54">
        <f t="shared" si="0"/>
        <v>0</v>
      </c>
      <c r="E85" s="55"/>
      <c r="F85" s="55"/>
      <c r="G85" s="55"/>
      <c r="H85" s="55"/>
      <c r="I85" s="55"/>
      <c r="J85" s="28"/>
      <c r="K85" s="28"/>
      <c r="L85" s="28"/>
      <c r="M85" s="28"/>
    </row>
    <row r="86" spans="1:13" ht="66.5" customHeight="1">
      <c r="A86" s="28"/>
      <c r="B86" s="133"/>
      <c r="C86" s="53" t="s">
        <v>123</v>
      </c>
      <c r="D86" s="44">
        <f t="shared" si="0"/>
        <v>0</v>
      </c>
      <c r="E86" s="45"/>
      <c r="F86" s="45"/>
      <c r="G86" s="45"/>
      <c r="H86" s="45"/>
      <c r="I86" s="45"/>
      <c r="J86" s="28"/>
      <c r="K86" s="28"/>
      <c r="L86" s="28"/>
      <c r="M86" s="28"/>
    </row>
    <row r="87" spans="1:13" ht="66.5" customHeight="1">
      <c r="A87" s="28"/>
      <c r="B87" s="133"/>
      <c r="C87" s="53" t="s">
        <v>124</v>
      </c>
      <c r="D87" s="44">
        <f t="shared" si="0"/>
        <v>0</v>
      </c>
      <c r="E87" s="45"/>
      <c r="F87" s="45"/>
      <c r="G87" s="45"/>
      <c r="H87" s="45"/>
      <c r="I87" s="45"/>
      <c r="J87" s="28"/>
      <c r="K87" s="28"/>
      <c r="L87" s="28"/>
      <c r="M87" s="28"/>
    </row>
    <row r="88" spans="1:13" ht="66.5" customHeight="1">
      <c r="A88" s="28"/>
      <c r="B88" s="133"/>
      <c r="C88" s="53" t="s">
        <v>125</v>
      </c>
      <c r="D88" s="44">
        <f t="shared" si="0"/>
        <v>0</v>
      </c>
      <c r="E88" s="56"/>
      <c r="F88" s="56"/>
      <c r="G88" s="56"/>
      <c r="H88" s="56"/>
      <c r="I88" s="56"/>
      <c r="J88" s="28"/>
      <c r="K88" s="28"/>
      <c r="L88" s="28"/>
      <c r="M88" s="28"/>
    </row>
    <row r="89" spans="1:13" ht="66.5" customHeight="1" thickBot="1">
      <c r="A89" s="28"/>
      <c r="B89" s="139"/>
      <c r="C89" s="53" t="s">
        <v>126</v>
      </c>
      <c r="D89" s="47">
        <f t="shared" si="0"/>
        <v>0</v>
      </c>
      <c r="E89" s="48"/>
      <c r="F89" s="48"/>
      <c r="G89" s="48"/>
      <c r="H89" s="48"/>
      <c r="I89" s="48"/>
      <c r="J89" s="28"/>
      <c r="K89" s="28"/>
      <c r="L89" s="28"/>
      <c r="M89" s="28"/>
    </row>
    <row r="90" spans="1:13" ht="66.5" customHeight="1"/>
    <row r="91" spans="1:13" ht="66.5" customHeight="1"/>
  </sheetData>
  <mergeCells count="11">
    <mergeCell ref="B85:B89"/>
    <mergeCell ref="B15:B22"/>
    <mergeCell ref="B23:B30"/>
    <mergeCell ref="B31:B42"/>
    <mergeCell ref="B43:B50"/>
    <mergeCell ref="B51:B61"/>
    <mergeCell ref="B2:K2"/>
    <mergeCell ref="B8:B14"/>
    <mergeCell ref="B62:B72"/>
    <mergeCell ref="B73:B78"/>
    <mergeCell ref="B79:B84"/>
  </mergeCells>
  <conditionalFormatting sqref="D8:D89">
    <cfRule type="containsText" dxfId="25" priority="2" operator="containsText" text="5">
      <formula>NOT(ISERROR(SEARCH("5",D8)))</formula>
    </cfRule>
    <cfRule type="containsText" dxfId="24" priority="3" operator="containsText" text="4">
      <formula>NOT(ISERROR(SEARCH("4",D8)))</formula>
    </cfRule>
    <cfRule type="containsText" dxfId="23" priority="4" operator="containsText" text="3">
      <formula>NOT(ISERROR(SEARCH("3",D8)))</formula>
    </cfRule>
    <cfRule type="containsText" dxfId="22" priority="5" operator="containsText" text="2">
      <formula>NOT(ISERROR(SEARCH("2",D8)))</formula>
    </cfRule>
    <cfRule type="containsText" dxfId="21" priority="6" operator="containsText" text="1">
      <formula>NOT(ISERROR(SEARCH("1",D8)))</formula>
    </cfRule>
    <cfRule type="containsText" dxfId="20" priority="7" operator="containsText" text="0">
      <formula>NOT(ISERROR(SEARCH("0",D8)))</formula>
    </cfRule>
  </conditionalFormatting>
  <conditionalFormatting sqref="E8:I89">
    <cfRule type="cellIs" dxfId="19" priority="1" operator="greaterThanOrEqual">
      <formula>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EFE02759-ED22-4C80-95CF-36988DC3F7A4}">
          <x14:formula1>
            <xm:f>'Drop-Down Keys - Do Not Delete'!$C$3</xm:f>
          </x14:formula1>
          <xm:sqref>E8:E89</xm:sqref>
        </x14:dataValidation>
        <x14:dataValidation type="list" allowBlank="1" showInputMessage="1" showErrorMessage="1" xr:uid="{A839AF69-D3AC-457F-AB59-4F01B99D0B86}">
          <x14:formula1>
            <xm:f>'Drop-Down Keys - Do Not Delete'!$C$4</xm:f>
          </x14:formula1>
          <xm:sqref>F8:F89</xm:sqref>
        </x14:dataValidation>
        <x14:dataValidation type="list" allowBlank="1" showInputMessage="1" showErrorMessage="1" xr:uid="{250E8686-581F-420D-AD4A-DAD7D8AF2894}">
          <x14:formula1>
            <xm:f>'Drop-Down Keys - Do Not Delete'!$C$5</xm:f>
          </x14:formula1>
          <xm:sqref>G8:G89</xm:sqref>
        </x14:dataValidation>
        <x14:dataValidation type="list" allowBlank="1" showInputMessage="1" showErrorMessage="1" xr:uid="{6D3D3214-243B-4C5E-821F-C6EFEBBDF489}">
          <x14:formula1>
            <xm:f>'Drop-Down Keys - Do Not Delete'!$C$6</xm:f>
          </x14:formula1>
          <xm:sqref>H8:H89</xm:sqref>
        </x14:dataValidation>
        <x14:dataValidation type="list" allowBlank="1" showInputMessage="1" showErrorMessage="1" xr:uid="{3FB698CB-70C9-4479-A0A9-35D82AE9F144}">
          <x14:formula1>
            <xm:f>'Drop-Down Keys - Do Not Delete'!$C$7</xm:f>
          </x14:formula1>
          <xm:sqref>I8:I89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3"/>
  <sheetViews>
    <sheetView showGridLines="0" workbookViewId="0">
      <selection activeCell="C8" sqref="C8"/>
    </sheetView>
  </sheetViews>
  <sheetFormatPr defaultColWidth="29.33203125" defaultRowHeight="14"/>
  <cols>
    <col min="1" max="1" width="6" style="1" customWidth="1"/>
    <col min="2" max="16384" width="29.33203125" style="1"/>
  </cols>
  <sheetData>
    <row r="3" spans="2:7" ht="15.5">
      <c r="B3" s="57" t="s">
        <v>132</v>
      </c>
      <c r="C3" s="57" t="s">
        <v>133</v>
      </c>
      <c r="D3" s="57" t="s">
        <v>134</v>
      </c>
      <c r="E3" s="57" t="s">
        <v>135</v>
      </c>
      <c r="F3" s="57" t="s">
        <v>136</v>
      </c>
      <c r="G3" s="57" t="s">
        <v>137</v>
      </c>
    </row>
    <row r="4" spans="2:7" ht="46.5">
      <c r="B4" s="58" t="s">
        <v>138</v>
      </c>
      <c r="C4" s="58" t="s">
        <v>139</v>
      </c>
      <c r="D4" s="58" t="s">
        <v>140</v>
      </c>
      <c r="E4" s="58" t="s">
        <v>141</v>
      </c>
      <c r="F4" s="58" t="s">
        <v>142</v>
      </c>
      <c r="G4" s="58" t="s">
        <v>143</v>
      </c>
    </row>
    <row r="5" spans="2:7" ht="31">
      <c r="B5" s="58" t="s">
        <v>144</v>
      </c>
      <c r="C5" s="58" t="s">
        <v>145</v>
      </c>
      <c r="D5" s="58" t="s">
        <v>146</v>
      </c>
      <c r="E5" s="58" t="s">
        <v>147</v>
      </c>
      <c r="F5" s="58" t="s">
        <v>148</v>
      </c>
      <c r="G5" s="58" t="s">
        <v>149</v>
      </c>
    </row>
    <row r="6" spans="2:7" ht="46.5">
      <c r="B6" s="58" t="s">
        <v>150</v>
      </c>
      <c r="C6" s="58" t="s">
        <v>151</v>
      </c>
      <c r="D6" s="58" t="s">
        <v>152</v>
      </c>
      <c r="E6" s="58" t="s">
        <v>153</v>
      </c>
      <c r="F6" s="58" t="s">
        <v>154</v>
      </c>
      <c r="G6" s="58" t="s">
        <v>155</v>
      </c>
    </row>
    <row r="7" spans="2:7" ht="46.5">
      <c r="B7" s="58" t="s">
        <v>156</v>
      </c>
      <c r="C7" s="58" t="s">
        <v>157</v>
      </c>
      <c r="D7" s="58" t="s">
        <v>158</v>
      </c>
      <c r="E7" s="58" t="s">
        <v>159</v>
      </c>
      <c r="F7" s="58" t="s">
        <v>160</v>
      </c>
      <c r="G7" s="58" t="s">
        <v>161</v>
      </c>
    </row>
    <row r="8" spans="2:7" ht="46.5">
      <c r="B8" s="58" t="s">
        <v>162</v>
      </c>
      <c r="C8" s="58" t="s">
        <v>163</v>
      </c>
      <c r="D8" s="58" t="s">
        <v>164</v>
      </c>
      <c r="E8" s="58" t="s">
        <v>165</v>
      </c>
      <c r="F8" s="58" t="s">
        <v>166</v>
      </c>
      <c r="G8" s="58" t="s">
        <v>167</v>
      </c>
    </row>
    <row r="9" spans="2:7" ht="46.5">
      <c r="B9" s="58" t="s">
        <v>168</v>
      </c>
      <c r="C9" s="58" t="s">
        <v>169</v>
      </c>
      <c r="D9" s="58" t="s">
        <v>170</v>
      </c>
      <c r="E9" s="58" t="s">
        <v>171</v>
      </c>
      <c r="F9" s="58" t="s">
        <v>172</v>
      </c>
      <c r="G9" s="58" t="s">
        <v>173</v>
      </c>
    </row>
    <row r="10" spans="2:7" ht="46.5">
      <c r="B10" s="58" t="s">
        <v>174</v>
      </c>
      <c r="C10" s="58" t="s">
        <v>175</v>
      </c>
      <c r="D10" s="58" t="s">
        <v>176</v>
      </c>
      <c r="E10" s="58" t="s">
        <v>177</v>
      </c>
      <c r="F10" s="58" t="s">
        <v>178</v>
      </c>
      <c r="G10" s="58" t="s">
        <v>179</v>
      </c>
    </row>
    <row r="11" spans="2:7" ht="46.5">
      <c r="B11" s="58" t="s">
        <v>180</v>
      </c>
      <c r="C11" s="58" t="s">
        <v>181</v>
      </c>
      <c r="D11" s="58" t="s">
        <v>182</v>
      </c>
      <c r="E11" s="58" t="s">
        <v>183</v>
      </c>
      <c r="F11" s="58" t="s">
        <v>184</v>
      </c>
      <c r="G11" s="58" t="s">
        <v>185</v>
      </c>
    </row>
    <row r="12" spans="2:7" ht="46.5">
      <c r="B12" s="58" t="s">
        <v>186</v>
      </c>
      <c r="C12" s="58" t="s">
        <v>187</v>
      </c>
      <c r="D12" s="58" t="s">
        <v>188</v>
      </c>
      <c r="E12" s="58" t="s">
        <v>189</v>
      </c>
      <c r="F12" s="58" t="s">
        <v>190</v>
      </c>
      <c r="G12" s="58" t="s">
        <v>191</v>
      </c>
    </row>
    <row r="13" spans="2:7" ht="46.5">
      <c r="B13" s="58" t="s">
        <v>192</v>
      </c>
      <c r="C13" s="58" t="s">
        <v>193</v>
      </c>
      <c r="D13" s="58" t="s">
        <v>194</v>
      </c>
      <c r="E13" s="58" t="s">
        <v>195</v>
      </c>
      <c r="F13" s="58" t="s">
        <v>196</v>
      </c>
      <c r="G13" s="58" t="s">
        <v>197</v>
      </c>
    </row>
  </sheetData>
  <conditionalFormatting sqref="D4:D28">
    <cfRule type="colorScale" priority="1">
      <colorScale>
        <cfvo type="min"/>
        <cfvo type="percentile" val="50"/>
        <cfvo type="max"/>
        <color rgb="FFFCA5A5"/>
        <color rgb="FFFDE68A"/>
        <color rgb="FF86EFAC"/>
      </colorScale>
    </cfRule>
  </conditionalFormatting>
  <dataValidations count="1">
    <dataValidation type="list" sqref="D4:D28" xr:uid="{00000000-0002-0000-0100-000000000000}">
      <formula1>"1,2,3,4,5"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0"/>
  <sheetViews>
    <sheetView showGridLines="0" topLeftCell="A8" workbookViewId="0">
      <selection activeCell="B17" sqref="B17:B20"/>
    </sheetView>
  </sheetViews>
  <sheetFormatPr defaultColWidth="0" defaultRowHeight="14"/>
  <cols>
    <col min="1" max="1" width="34" style="1" customWidth="1"/>
    <col min="2" max="2" width="22" style="1" customWidth="1"/>
    <col min="3" max="3" width="31.83203125" style="1" customWidth="1"/>
    <col min="4" max="16384" width="8.6640625" style="1" hidden="1"/>
  </cols>
  <sheetData>
    <row r="1" spans="1:2" ht="22" customHeight="1">
      <c r="A1" s="59" t="s">
        <v>198</v>
      </c>
      <c r="B1" s="59"/>
    </row>
    <row r="2" spans="1:2" ht="22" customHeight="1"/>
    <row r="3" spans="1:2" ht="22" customHeight="1">
      <c r="A3" s="60" t="s">
        <v>132</v>
      </c>
      <c r="B3" s="60" t="s">
        <v>0</v>
      </c>
    </row>
    <row r="4" spans="1:2" ht="22" customHeight="1">
      <c r="A4" s="61" t="s">
        <v>138</v>
      </c>
      <c r="B4" s="62">
        <f>IFERROR(AVERAGEIF('AI Readiness Assessment'!D8:D14,"&gt;0",'AI Readiness Assessment'!D8:D14),"")</f>
        <v>2</v>
      </c>
    </row>
    <row r="5" spans="1:2" ht="22" customHeight="1">
      <c r="A5" s="63" t="s">
        <v>144</v>
      </c>
      <c r="B5" s="64" t="str">
        <f>IFERROR(AVERAGEIF('AI Readiness Assessment'!D15:D22,"&gt;0",'AI Readiness Assessment'!D15:D22),"")</f>
        <v/>
      </c>
    </row>
    <row r="6" spans="1:2" ht="22" customHeight="1">
      <c r="A6" s="63" t="s">
        <v>150</v>
      </c>
      <c r="B6" s="64">
        <f>IFERROR(AVERAGEIF('AI Readiness Assessment'!D23:D30,"&gt;0",'AI Readiness Assessment'!D23:D30),"")</f>
        <v>1</v>
      </c>
    </row>
    <row r="7" spans="1:2" ht="22" customHeight="1">
      <c r="A7" s="63" t="s">
        <v>156</v>
      </c>
      <c r="B7" s="64" t="str">
        <f>IFERROR(AVERAGEIF('AI Readiness Assessment'!D31:D42,"&gt;0",'AI Readiness Assessment'!D31:D42),"")</f>
        <v/>
      </c>
    </row>
    <row r="8" spans="1:2" ht="22" customHeight="1">
      <c r="A8" s="63" t="s">
        <v>162</v>
      </c>
      <c r="B8" s="64" t="str">
        <f>IFERROR(AVERAGEIF('AI Readiness Assessment'!D43:D50,"&gt;0",'AI Readiness Assessment'!D43:D50),"")</f>
        <v/>
      </c>
    </row>
    <row r="9" spans="1:2" ht="22" customHeight="1">
      <c r="A9" s="63" t="s">
        <v>168</v>
      </c>
      <c r="B9" s="64" t="str">
        <f>IFERROR(AVERAGEIF('AI Readiness Assessment'!D51:D61,"&gt;0",'AI Readiness Assessment'!D51:D61),"")</f>
        <v/>
      </c>
    </row>
    <row r="10" spans="1:2" ht="22" customHeight="1">
      <c r="A10" s="63" t="s">
        <v>174</v>
      </c>
      <c r="B10" s="64" t="str">
        <f>IFERROR(AVERAGEIF('AI Readiness Assessment'!D62:D72,"&gt;0",'AI Readiness Assessment'!D62:D72),"")</f>
        <v/>
      </c>
    </row>
    <row r="11" spans="1:2" ht="22" customHeight="1">
      <c r="A11" s="63" t="s">
        <v>180</v>
      </c>
      <c r="B11" s="64" t="str">
        <f>IFERROR(AVERAGEIF('AI Readiness Assessment'!D73:D78,"&gt;0",'AI Readiness Assessment'!D73:D78),"")</f>
        <v/>
      </c>
    </row>
    <row r="12" spans="1:2" ht="37.5" customHeight="1">
      <c r="A12" s="63" t="s">
        <v>186</v>
      </c>
      <c r="B12" s="64" t="str">
        <f>IFERROR(AVERAGEIF('AI Readiness Assessment'!D79:D84,"&gt;0",'AI Readiness Assessment'!D79:D84),"")</f>
        <v/>
      </c>
    </row>
    <row r="13" spans="1:2" ht="22" customHeight="1">
      <c r="A13" s="63" t="s">
        <v>192</v>
      </c>
      <c r="B13" s="64" t="str">
        <f>IFERROR(AVERAGEIF('AI Readiness Assessment'!D85:D89,"&gt;0",'AI Readiness Assessment'!D85:D89),"")</f>
        <v/>
      </c>
    </row>
    <row r="14" spans="1:2" ht="22" customHeight="1">
      <c r="A14" s="63" t="s">
        <v>199</v>
      </c>
      <c r="B14" s="64">
        <f>IFERROR(AVERAGEIF(B4:B13,"&gt;0",B4:B13),"")</f>
        <v>1.5</v>
      </c>
    </row>
    <row r="15" spans="1:2" ht="22" customHeight="1">
      <c r="A15" s="63" t="s">
        <v>200</v>
      </c>
      <c r="B15" s="65" t="str">
        <f>IF(B14="","Not Started",IF(B14&lt;2,"Initial",IF(B14&lt;3,"Emerging",IF(B14&lt;4,"Developing",IF(B14&lt;4.5,"Established","Optimised")))))</f>
        <v>Initial</v>
      </c>
    </row>
    <row r="16" spans="1:2" ht="22" customHeight="1">
      <c r="A16" s="63" t="s">
        <v>201</v>
      </c>
      <c r="B16" s="65" t="str">
        <f>IF(B14="","Not Started",IF(B14&lt;2,"Critical Risk",IF(B14&lt;3,"High Risk",IF(B14&lt;4,"Moderate Risk",IF(B14&lt;4.5,"Low Risk","Minimal Risk")))))</f>
        <v>Critical Risk</v>
      </c>
    </row>
    <row r="17" spans="1:2" ht="22" customHeight="1">
      <c r="A17" s="66" t="s">
        <v>202</v>
      </c>
      <c r="B17" s="103">
        <f>IF(B14="","",ROUND((B14/5)*100,0))</f>
        <v>30</v>
      </c>
    </row>
    <row r="18" spans="1:2">
      <c r="A18" s="66" t="s">
        <v>14</v>
      </c>
      <c r="B18" s="104" t="str">
        <f>IF(B14="","",INDEX(A4:A13,MATCH(MAX(B4:B13),B4:B13,0)))</f>
        <v>Strategy &amp; Vision</v>
      </c>
    </row>
    <row r="19" spans="1:2">
      <c r="A19" s="66" t="s">
        <v>15</v>
      </c>
      <c r="B19" s="104" t="str" cm="1">
        <f t="array" ref="B19">IF(B14="","",INDEX(A4:A13,MATCH(MIN(IF(B4:B13&gt;0,B4:B13)),IF(B4:B13&gt;0,B4:B13),0)))</f>
        <v>Workforce &amp; Skills</v>
      </c>
    </row>
    <row r="20" spans="1:2">
      <c r="A20" s="67" t="s">
        <v>203</v>
      </c>
      <c r="B20" s="105" t="str">
        <f>IF(COUNTIF('AI Readiness Assessment'!D8:D89,"&gt;0")=82,"Complete","In Progress")</f>
        <v>In Progress</v>
      </c>
    </row>
  </sheetData>
  <conditionalFormatting sqref="B4:B8">
    <cfRule type="colorScale" priority="1">
      <colorScale>
        <cfvo type="min"/>
        <cfvo type="percentile" val="50"/>
        <cfvo type="max"/>
        <color rgb="FFFCA5A5"/>
        <color rgb="FFFDE68A"/>
        <color rgb="FF86EFAC"/>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showGridLines="0" workbookViewId="0">
      <selection activeCell="E6" sqref="E6"/>
    </sheetView>
  </sheetViews>
  <sheetFormatPr defaultColWidth="15.1640625" defaultRowHeight="14"/>
  <cols>
    <col min="1" max="16384" width="15.1640625" style="1"/>
  </cols>
  <sheetData>
    <row r="1" spans="1:4" ht="15.5">
      <c r="A1" s="57" t="s">
        <v>132</v>
      </c>
      <c r="B1" s="57" t="s">
        <v>0</v>
      </c>
      <c r="C1" s="57" t="s">
        <v>8</v>
      </c>
      <c r="D1" s="57" t="s">
        <v>201</v>
      </c>
    </row>
    <row r="2" spans="1:4" ht="15.5">
      <c r="A2" s="58" t="s">
        <v>138</v>
      </c>
      <c r="B2" s="68">
        <f>'Scoring Engine'!B4</f>
        <v>2</v>
      </c>
      <c r="C2" s="96" t="str">
        <f>IF(B2="","",IF(B2&lt;2,"Initial",IF(B2&lt;3,"Emerging",IF(B2&lt;4,"Developing",IF(B2&lt;4.5,"Established","Optimised")))))</f>
        <v>Emerging</v>
      </c>
      <c r="D2" s="96" t="str">
        <f>IF(B2="","",IF(B2&lt;2,"Critical Risk",IF(B2&lt;3,"High Risk",IF(B2&lt;4,"Moderate Risk",IF(B2&lt;4.5,"Low Risk","Minimal Risk")))))</f>
        <v>High Risk</v>
      </c>
    </row>
    <row r="3" spans="1:4" ht="31">
      <c r="A3" s="58" t="s">
        <v>144</v>
      </c>
      <c r="B3" s="68" t="str">
        <f>'Scoring Engine'!B5</f>
        <v/>
      </c>
      <c r="C3" s="96" t="str">
        <f t="shared" ref="C3:C11" si="0">IF(B3="","",IF(B3&lt;2,"Initial",IF(B3&lt;3,"Emerging",IF(B3&lt;4,"Developing",IF(B3&lt;4.5,"Established","Optimised")))))</f>
        <v/>
      </c>
      <c r="D3" s="96" t="str">
        <f t="shared" ref="D3:D11" si="1">IF(B3="","",IF(B3&lt;2,"Critical Risk",IF(B3&lt;3,"High Risk",IF(B3&lt;4,"Moderate Risk",IF(B3&lt;4.5,"Low Risk","Minimal Risk")))))</f>
        <v/>
      </c>
    </row>
    <row r="4" spans="1:4" ht="31">
      <c r="A4" s="58" t="s">
        <v>150</v>
      </c>
      <c r="B4" s="68">
        <f>'Scoring Engine'!B6</f>
        <v>1</v>
      </c>
      <c r="C4" s="96" t="str">
        <f t="shared" si="0"/>
        <v>Initial</v>
      </c>
      <c r="D4" s="96" t="str">
        <f t="shared" si="1"/>
        <v>Critical Risk</v>
      </c>
    </row>
    <row r="5" spans="1:4" ht="15.5">
      <c r="A5" s="58" t="s">
        <v>156</v>
      </c>
      <c r="B5" s="68" t="str">
        <f>'Scoring Engine'!B7</f>
        <v/>
      </c>
      <c r="C5" s="96" t="str">
        <f t="shared" si="0"/>
        <v/>
      </c>
      <c r="D5" s="96" t="str">
        <f t="shared" si="1"/>
        <v/>
      </c>
    </row>
    <row r="6" spans="1:4" ht="31">
      <c r="A6" s="58" t="s">
        <v>162</v>
      </c>
      <c r="B6" s="68" t="str">
        <f>'Scoring Engine'!B8</f>
        <v/>
      </c>
      <c r="C6" s="96" t="str">
        <f t="shared" si="0"/>
        <v/>
      </c>
      <c r="D6" s="96" t="str">
        <f t="shared" si="1"/>
        <v/>
      </c>
    </row>
    <row r="7" spans="1:4" ht="31">
      <c r="A7" s="58" t="s">
        <v>168</v>
      </c>
      <c r="B7" s="68" t="str">
        <f>'Scoring Engine'!B9</f>
        <v/>
      </c>
      <c r="C7" s="96" t="str">
        <f t="shared" si="0"/>
        <v/>
      </c>
      <c r="D7" s="96" t="str">
        <f t="shared" si="1"/>
        <v/>
      </c>
    </row>
    <row r="8" spans="1:4" ht="31">
      <c r="A8" s="58" t="s">
        <v>174</v>
      </c>
      <c r="B8" s="68" t="str">
        <f>'Scoring Engine'!B10</f>
        <v/>
      </c>
      <c r="C8" s="96" t="str">
        <f t="shared" si="0"/>
        <v/>
      </c>
      <c r="D8" s="96" t="str">
        <f t="shared" si="1"/>
        <v/>
      </c>
    </row>
    <row r="9" spans="1:4" ht="31">
      <c r="A9" s="58" t="s">
        <v>180</v>
      </c>
      <c r="B9" s="68" t="str">
        <f>'Scoring Engine'!B11</f>
        <v/>
      </c>
      <c r="C9" s="96" t="str">
        <f t="shared" si="0"/>
        <v/>
      </c>
      <c r="D9" s="96" t="str">
        <f t="shared" si="1"/>
        <v/>
      </c>
    </row>
    <row r="10" spans="1:4" ht="31">
      <c r="A10" s="58" t="s">
        <v>186</v>
      </c>
      <c r="B10" s="68" t="str">
        <f>'Scoring Engine'!B12</f>
        <v/>
      </c>
      <c r="C10" s="96" t="str">
        <f t="shared" si="0"/>
        <v/>
      </c>
      <c r="D10" s="96" t="str">
        <f t="shared" si="1"/>
        <v/>
      </c>
    </row>
    <row r="11" spans="1:4" ht="46.5">
      <c r="A11" s="58" t="s">
        <v>192</v>
      </c>
      <c r="B11" s="68" t="str">
        <f>'Scoring Engine'!B13</f>
        <v/>
      </c>
      <c r="C11" s="96" t="str">
        <f t="shared" si="0"/>
        <v/>
      </c>
      <c r="D11" s="96" t="str">
        <f t="shared" si="1"/>
        <v/>
      </c>
    </row>
  </sheetData>
  <conditionalFormatting sqref="B2:B11">
    <cfRule type="cellIs" dxfId="18" priority="1" operator="greaterThan">
      <formula>4</formula>
    </cfRule>
    <cfRule type="cellIs" dxfId="17" priority="2" operator="between">
      <formula>3</formula>
      <formula>3.99</formula>
    </cfRule>
    <cfRule type="cellIs" dxfId="16" priority="3" operator="lessThan">
      <formula>3</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36B2-EDCE-4521-AC70-33DE859BD008}">
  <dimension ref="A1:AC57"/>
  <sheetViews>
    <sheetView workbookViewId="0">
      <selection activeCell="C3" sqref="C3"/>
    </sheetView>
  </sheetViews>
  <sheetFormatPr defaultColWidth="10.83203125" defaultRowHeight="15.5"/>
  <cols>
    <col min="1" max="1" width="3.33203125" style="79" customWidth="1"/>
    <col min="2" max="2" width="29.83203125" style="84" customWidth="1"/>
    <col min="3" max="3" width="12.83203125" style="84" customWidth="1"/>
    <col min="4" max="4" width="3.33203125" style="79" customWidth="1"/>
    <col min="5" max="16384" width="10.83203125" style="84"/>
  </cols>
  <sheetData>
    <row r="1" spans="1:29" s="79" customFormat="1" ht="42" customHeight="1" thickBot="1">
      <c r="B1" s="80" t="s">
        <v>318</v>
      </c>
      <c r="C1" s="81"/>
      <c r="D1" s="81"/>
      <c r="E1" s="81"/>
      <c r="F1" s="81"/>
      <c r="G1" s="81"/>
      <c r="O1" s="82"/>
      <c r="P1" s="82"/>
      <c r="Q1" s="82"/>
      <c r="R1" s="82"/>
      <c r="S1" s="82"/>
      <c r="T1" s="82"/>
      <c r="U1" s="82"/>
      <c r="V1" s="82"/>
      <c r="W1" s="82"/>
      <c r="X1" s="82"/>
      <c r="Y1" s="82"/>
      <c r="Z1" s="82"/>
      <c r="AA1" s="82"/>
      <c r="AB1" s="82"/>
      <c r="AC1" s="82"/>
    </row>
    <row r="2" spans="1:29" ht="25" customHeight="1" thickTop="1">
      <c r="A2" s="82"/>
      <c r="B2" s="83" t="s">
        <v>319</v>
      </c>
      <c r="C2" s="83" t="s">
        <v>320</v>
      </c>
      <c r="D2" s="82"/>
    </row>
    <row r="3" spans="1:29" ht="35.15" customHeight="1">
      <c r="A3" s="82"/>
      <c r="B3" s="85" t="s">
        <v>1</v>
      </c>
      <c r="C3" s="86">
        <v>1</v>
      </c>
      <c r="D3" s="82"/>
    </row>
    <row r="4" spans="1:29" ht="35.15" customHeight="1">
      <c r="A4" s="82"/>
      <c r="B4" s="85" t="s">
        <v>2</v>
      </c>
      <c r="C4" s="92">
        <v>2</v>
      </c>
      <c r="D4" s="82"/>
    </row>
    <row r="5" spans="1:29" ht="35.15" customHeight="1">
      <c r="A5" s="82"/>
      <c r="B5" s="85" t="s">
        <v>3</v>
      </c>
      <c r="C5" s="87">
        <v>3</v>
      </c>
      <c r="D5" s="82"/>
    </row>
    <row r="6" spans="1:29" ht="35.15" customHeight="1">
      <c r="A6" s="82"/>
      <c r="B6" s="88" t="s">
        <v>4</v>
      </c>
      <c r="C6" s="91">
        <v>4</v>
      </c>
      <c r="D6" s="82"/>
    </row>
    <row r="7" spans="1:29" ht="35.15" customHeight="1">
      <c r="A7" s="82"/>
      <c r="B7" s="88" t="s">
        <v>5</v>
      </c>
      <c r="C7" s="91">
        <v>5</v>
      </c>
      <c r="D7" s="82"/>
    </row>
    <row r="8" spans="1:29" ht="35.15" customHeight="1">
      <c r="A8" s="82"/>
      <c r="B8" s="89"/>
      <c r="C8" s="90">
        <v>0</v>
      </c>
      <c r="D8" s="82"/>
    </row>
    <row r="9" spans="1:29">
      <c r="A9" s="82"/>
      <c r="B9" s="89"/>
      <c r="C9" s="89"/>
      <c r="D9" s="82"/>
    </row>
    <row r="10" spans="1:29">
      <c r="A10" s="82"/>
      <c r="B10" s="89"/>
      <c r="C10" s="89"/>
      <c r="D10" s="82"/>
    </row>
    <row r="11" spans="1:29">
      <c r="A11" s="82"/>
      <c r="B11" s="89"/>
      <c r="C11" s="89"/>
      <c r="D11" s="82"/>
    </row>
    <row r="12" spans="1:29">
      <c r="A12" s="82"/>
      <c r="B12" s="89"/>
      <c r="C12" s="89"/>
      <c r="D12" s="82"/>
    </row>
    <row r="13" spans="1:29">
      <c r="A13" s="82"/>
      <c r="B13" s="89"/>
      <c r="D13" s="82"/>
    </row>
    <row r="14" spans="1:29">
      <c r="A14" s="82"/>
      <c r="B14" s="89"/>
      <c r="D14" s="82"/>
    </row>
    <row r="15" spans="1:29">
      <c r="A15" s="82"/>
      <c r="B15" s="89"/>
      <c r="D15" s="82"/>
    </row>
    <row r="16" spans="1:29">
      <c r="A16" s="82"/>
      <c r="B16" s="89"/>
      <c r="D16" s="82"/>
    </row>
    <row r="17" spans="1:4">
      <c r="A17" s="82"/>
      <c r="B17" s="89"/>
      <c r="D17" s="82"/>
    </row>
    <row r="18" spans="1:4">
      <c r="A18" s="82"/>
      <c r="B18" s="89"/>
      <c r="D18" s="82"/>
    </row>
    <row r="19" spans="1:4">
      <c r="A19" s="82"/>
      <c r="B19" s="89"/>
      <c r="D19" s="82"/>
    </row>
    <row r="20" spans="1:4">
      <c r="A20" s="82"/>
      <c r="B20" s="89"/>
      <c r="D20" s="82"/>
    </row>
    <row r="21" spans="1:4">
      <c r="A21" s="82"/>
      <c r="B21" s="89"/>
      <c r="D21" s="82"/>
    </row>
    <row r="22" spans="1:4">
      <c r="A22" s="82"/>
      <c r="B22" s="89"/>
      <c r="D22" s="82"/>
    </row>
    <row r="23" spans="1:4">
      <c r="A23" s="82"/>
      <c r="B23" s="89"/>
      <c r="D23" s="82"/>
    </row>
    <row r="24" spans="1:4">
      <c r="A24" s="82"/>
      <c r="B24" s="89"/>
      <c r="D24" s="82"/>
    </row>
    <row r="25" spans="1:4">
      <c r="A25" s="82"/>
      <c r="B25" s="89"/>
      <c r="D25" s="82"/>
    </row>
    <row r="26" spans="1:4">
      <c r="A26" s="82"/>
      <c r="B26" s="89"/>
      <c r="D26" s="82"/>
    </row>
    <row r="27" spans="1:4">
      <c r="A27" s="82"/>
      <c r="B27" s="89"/>
      <c r="D27" s="82"/>
    </row>
    <row r="28" spans="1:4">
      <c r="A28" s="84"/>
      <c r="B28" s="89"/>
      <c r="D28" s="84"/>
    </row>
    <row r="29" spans="1:4">
      <c r="A29" s="82"/>
      <c r="D29" s="82"/>
    </row>
    <row r="30" spans="1:4">
      <c r="A30" s="82"/>
      <c r="D30" s="82"/>
    </row>
    <row r="31" spans="1:4">
      <c r="A31" s="82"/>
      <c r="D31" s="82"/>
    </row>
    <row r="32" spans="1:4">
      <c r="A32" s="82"/>
      <c r="D32" s="82"/>
    </row>
    <row r="33" spans="1:4">
      <c r="A33" s="82"/>
      <c r="D33" s="82"/>
    </row>
    <row r="34" spans="1:4">
      <c r="A34" s="82"/>
      <c r="D34" s="82"/>
    </row>
    <row r="35" spans="1:4">
      <c r="A35" s="82"/>
      <c r="D35" s="82"/>
    </row>
    <row r="36" spans="1:4">
      <c r="A36" s="82"/>
      <c r="D36" s="82"/>
    </row>
    <row r="37" spans="1:4">
      <c r="A37" s="82"/>
      <c r="D37" s="82"/>
    </row>
    <row r="38" spans="1:4">
      <c r="A38" s="82"/>
      <c r="D38" s="82"/>
    </row>
    <row r="39" spans="1:4">
      <c r="A39" s="82"/>
      <c r="D39" s="82"/>
    </row>
    <row r="40" spans="1:4">
      <c r="A40" s="82"/>
      <c r="D40" s="82"/>
    </row>
    <row r="41" spans="1:4">
      <c r="A41" s="82"/>
      <c r="D41" s="82"/>
    </row>
    <row r="42" spans="1:4">
      <c r="A42" s="82"/>
      <c r="D42" s="82"/>
    </row>
    <row r="43" spans="1:4">
      <c r="A43" s="82"/>
      <c r="D43" s="82"/>
    </row>
    <row r="44" spans="1:4">
      <c r="A44" s="82"/>
      <c r="D44" s="82"/>
    </row>
    <row r="45" spans="1:4">
      <c r="A45" s="82"/>
      <c r="D45" s="82"/>
    </row>
    <row r="46" spans="1:4">
      <c r="A46" s="82"/>
      <c r="D46" s="82"/>
    </row>
    <row r="47" spans="1:4">
      <c r="A47" s="82"/>
      <c r="D47" s="82"/>
    </row>
    <row r="48" spans="1:4">
      <c r="A48" s="82"/>
      <c r="D48" s="82"/>
    </row>
    <row r="49" spans="1:4">
      <c r="A49" s="82"/>
      <c r="D49" s="82"/>
    </row>
    <row r="50" spans="1:4">
      <c r="A50" s="82"/>
      <c r="D50" s="82"/>
    </row>
    <row r="51" spans="1:4">
      <c r="A51" s="82"/>
      <c r="D51" s="82"/>
    </row>
    <row r="52" spans="1:4">
      <c r="A52" s="82"/>
      <c r="D52" s="82"/>
    </row>
    <row r="53" spans="1:4">
      <c r="A53" s="82"/>
      <c r="D53" s="82"/>
    </row>
    <row r="54" spans="1:4">
      <c r="A54" s="82"/>
      <c r="D54" s="82"/>
    </row>
    <row r="55" spans="1:4">
      <c r="A55" s="82"/>
      <c r="D55" s="82"/>
    </row>
    <row r="56" spans="1:4">
      <c r="A56" s="82"/>
      <c r="D56" s="82"/>
    </row>
    <row r="57" spans="1:4">
      <c r="A57" s="82"/>
      <c r="D57" s="82"/>
    </row>
  </sheetData>
  <conditionalFormatting sqref="C3:C7">
    <cfRule type="containsText" dxfId="15" priority="1" operator="containsText" text="5">
      <formula>NOT(ISERROR(SEARCH("5",C3)))</formula>
    </cfRule>
    <cfRule type="containsText" dxfId="14" priority="2" operator="containsText" text="4">
      <formula>NOT(ISERROR(SEARCH("4",C3)))</formula>
    </cfRule>
    <cfRule type="containsText" dxfId="13" priority="3" operator="containsText" text="3">
      <formula>NOT(ISERROR(SEARCH("3",C3)))</formula>
    </cfRule>
    <cfRule type="containsText" dxfId="12" priority="4" operator="containsText" text="2">
      <formula>NOT(ISERROR(SEARCH("2",C3)))</formula>
    </cfRule>
    <cfRule type="containsText" dxfId="11" priority="5" operator="containsText" text="1">
      <formula>NOT(ISERROR(SEARCH("1",C3)))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99"/>
  <sheetViews>
    <sheetView showGridLines="0" tabSelected="1" zoomScale="50" zoomScaleNormal="50" workbookViewId="0">
      <selection activeCell="E16" sqref="E16"/>
    </sheetView>
  </sheetViews>
  <sheetFormatPr defaultColWidth="0" defaultRowHeight="14"/>
  <cols>
    <col min="1" max="1" width="34.33203125" customWidth="1"/>
    <col min="2" max="2" width="37.83203125" customWidth="1"/>
    <col min="3" max="4" width="37.83203125" style="147" customWidth="1"/>
    <col min="5" max="5" width="55" customWidth="1"/>
    <col min="6" max="6" width="113.6640625" customWidth="1"/>
    <col min="7" max="7" width="40" customWidth="1"/>
    <col min="8" max="8" width="25" customWidth="1"/>
    <col min="9" max="14" width="14" customWidth="1"/>
    <col min="15" max="34" width="8.6640625" customWidth="1"/>
    <col min="35" max="16384" width="8.6640625" hidden="1"/>
  </cols>
  <sheetData>
    <row r="1" spans="1:28" ht="20">
      <c r="A1" s="122" t="s">
        <v>13</v>
      </c>
      <c r="B1" s="124"/>
      <c r="C1" s="124"/>
      <c r="D1" s="124"/>
      <c r="E1" s="124"/>
      <c r="F1" s="124"/>
      <c r="G1" s="124"/>
      <c r="H1" s="124"/>
      <c r="I1" s="124"/>
      <c r="J1" s="124"/>
      <c r="K1" s="124"/>
      <c r="L1" s="124"/>
      <c r="M1" s="124"/>
      <c r="N1" s="124"/>
      <c r="O1" s="2"/>
      <c r="P1" s="2"/>
      <c r="Q1" s="2"/>
      <c r="R1" s="2"/>
      <c r="S1" s="2"/>
      <c r="T1" s="2"/>
      <c r="U1" s="2"/>
      <c r="V1" s="2"/>
      <c r="W1" s="2"/>
      <c r="X1" s="2"/>
      <c r="Y1" s="2"/>
      <c r="Z1" s="2"/>
      <c r="AA1" s="2"/>
      <c r="AB1" s="2"/>
    </row>
    <row r="2" spans="1:28">
      <c r="A2" s="2"/>
      <c r="B2" s="2"/>
      <c r="C2" s="146"/>
      <c r="D2" s="146"/>
      <c r="E2" s="2"/>
      <c r="F2" s="2"/>
      <c r="G2" s="2"/>
      <c r="H2" s="2"/>
      <c r="I2" s="2"/>
      <c r="J2" s="2"/>
      <c r="K2" s="2"/>
      <c r="L2" s="2"/>
      <c r="M2" s="2"/>
      <c r="N2" s="2"/>
      <c r="O2" s="2"/>
      <c r="P2" s="2"/>
      <c r="Q2" s="2"/>
      <c r="R2" s="2"/>
      <c r="S2" s="2"/>
      <c r="T2" s="2"/>
      <c r="U2" s="2"/>
      <c r="V2" s="2"/>
      <c r="W2" s="2"/>
      <c r="X2" s="2"/>
      <c r="Y2" s="2"/>
      <c r="Z2" s="2"/>
      <c r="AA2" s="2"/>
      <c r="AB2" s="2"/>
    </row>
    <row r="3" spans="1:28" ht="30">
      <c r="A3" s="5" t="s">
        <v>9</v>
      </c>
      <c r="B3" s="148">
        <f>'Scoring Engine'!B14</f>
        <v>1.5</v>
      </c>
      <c r="C3" s="5" t="s">
        <v>346</v>
      </c>
      <c r="D3" s="150">
        <f>'Scoring Engine'!B17</f>
        <v>30</v>
      </c>
      <c r="E3" s="6" t="s">
        <v>10</v>
      </c>
      <c r="F3" s="149" t="str">
        <f>'Scoring Engine'!B15</f>
        <v>Initial</v>
      </c>
      <c r="G3" s="2"/>
      <c r="I3" s="2"/>
      <c r="J3" s="2"/>
      <c r="K3" s="2"/>
      <c r="L3" s="2"/>
      <c r="M3" s="2"/>
      <c r="N3" s="2"/>
      <c r="O3" s="2"/>
      <c r="P3" s="2"/>
      <c r="Q3" s="2"/>
      <c r="R3" s="2"/>
      <c r="S3" s="2"/>
      <c r="T3" s="2"/>
      <c r="U3" s="2"/>
      <c r="V3" s="2"/>
      <c r="W3" s="2"/>
      <c r="X3" s="2"/>
      <c r="Y3" s="2"/>
      <c r="Z3" s="2"/>
      <c r="AA3" s="2"/>
      <c r="AB3" s="2"/>
    </row>
    <row r="4" spans="1:28" ht="30">
      <c r="A4" s="5" t="s">
        <v>16</v>
      </c>
      <c r="B4" s="148" t="str">
        <f>'Scoring Engine'!B16</f>
        <v>Critical Risk</v>
      </c>
      <c r="C4" s="5" t="s">
        <v>348</v>
      </c>
      <c r="D4" s="148" t="str">
        <f>INDEX('Scoring Engine'!A4:A13,MATCH(MAX('Scoring Engine'!B4:B13),'Scoring Engine'!B4:B13,0))</f>
        <v>Strategy &amp; Vision</v>
      </c>
      <c r="E4" s="6" t="s">
        <v>349</v>
      </c>
      <c r="F4" s="149" t="str">
        <f>'Scoring Engine'!B19</f>
        <v>Workforce &amp; Skills</v>
      </c>
      <c r="G4" s="2"/>
      <c r="I4" s="2"/>
      <c r="J4" s="2"/>
      <c r="K4" s="2"/>
      <c r="L4" s="2"/>
      <c r="M4" s="2"/>
      <c r="N4" s="2"/>
      <c r="O4" s="2"/>
      <c r="P4" s="2"/>
      <c r="Q4" s="2"/>
      <c r="R4" s="2"/>
      <c r="S4" s="2"/>
      <c r="T4" s="2"/>
      <c r="U4" s="2"/>
      <c r="V4" s="2"/>
      <c r="W4" s="2"/>
      <c r="X4" s="2"/>
      <c r="Y4" s="2"/>
      <c r="Z4" s="2"/>
      <c r="AA4" s="2"/>
      <c r="AB4" s="2"/>
    </row>
    <row r="5" spans="1:28" ht="30">
      <c r="A5" s="6" t="s">
        <v>17</v>
      </c>
      <c r="B5" s="151" t="str">
        <f>IF('Scoring Engine'!B14&lt;3,"Build foundational AI capabilities including strategy, governance and workforce readiness.",IF('Scoring Engine'!B14&lt;4,"Formalise AI operating model, controls and technology enablement.","Focus on scaling AI adoption, value realisation and continuous optimisation."))</f>
        <v>Build foundational AI capabilities including strategy, governance and workforce readiness.</v>
      </c>
      <c r="C5" s="152"/>
      <c r="D5" s="152"/>
      <c r="E5" s="152"/>
      <c r="F5" s="152"/>
      <c r="G5" s="2"/>
      <c r="I5" s="2"/>
      <c r="J5" s="2"/>
      <c r="K5" s="2"/>
      <c r="L5" s="2"/>
      <c r="M5" s="2"/>
      <c r="N5" s="2"/>
      <c r="O5" s="2"/>
      <c r="P5" s="2"/>
      <c r="Q5" s="2"/>
      <c r="R5" s="2"/>
      <c r="S5" s="2"/>
      <c r="T5" s="2"/>
      <c r="U5" s="2"/>
      <c r="V5" s="2"/>
      <c r="W5" s="2"/>
      <c r="X5" s="2"/>
      <c r="Y5" s="2"/>
      <c r="Z5" s="2"/>
      <c r="AA5" s="2"/>
      <c r="AB5" s="2"/>
    </row>
    <row r="6" spans="1:28">
      <c r="A6" s="2"/>
      <c r="B6" s="2"/>
      <c r="C6" s="146"/>
      <c r="D6" s="146"/>
      <c r="E6" s="2"/>
      <c r="F6" s="2"/>
      <c r="G6" s="2"/>
      <c r="H6" s="2"/>
      <c r="I6" s="2"/>
      <c r="J6" s="2"/>
      <c r="K6" s="2"/>
      <c r="L6" s="2"/>
      <c r="M6" s="2"/>
      <c r="N6" s="2"/>
      <c r="O6" s="2"/>
      <c r="P6" s="2"/>
      <c r="Q6" s="2"/>
      <c r="R6" s="2"/>
      <c r="S6" s="2"/>
      <c r="T6" s="2"/>
      <c r="U6" s="2"/>
      <c r="V6" s="2"/>
      <c r="W6" s="2"/>
      <c r="X6" s="2"/>
      <c r="Y6" s="2"/>
      <c r="Z6" s="2"/>
      <c r="AA6" s="2"/>
      <c r="AB6" s="2"/>
    </row>
    <row r="7" spans="1:28" s="9" customFormat="1">
      <c r="A7" s="7" t="s">
        <v>6</v>
      </c>
      <c r="B7" s="7" t="s">
        <v>0</v>
      </c>
      <c r="C7" s="7" t="s">
        <v>7</v>
      </c>
      <c r="F7" s="8"/>
      <c r="G7" s="8"/>
      <c r="H7" s="8"/>
      <c r="I7" s="8"/>
      <c r="J7" s="8"/>
      <c r="K7" s="8"/>
      <c r="L7" s="8"/>
      <c r="M7" s="8"/>
      <c r="N7" s="8"/>
      <c r="O7" s="8"/>
      <c r="P7" s="8"/>
      <c r="Q7" s="8"/>
      <c r="R7" s="8"/>
      <c r="S7" s="8"/>
      <c r="T7" s="8"/>
      <c r="U7" s="8"/>
      <c r="V7" s="8"/>
      <c r="W7" s="8"/>
      <c r="X7" s="8"/>
      <c r="Y7" s="8"/>
      <c r="Z7" s="8"/>
      <c r="AA7" s="8"/>
      <c r="AB7" s="8"/>
    </row>
    <row r="8" spans="1:28">
      <c r="A8" s="4" t="s">
        <v>138</v>
      </c>
      <c r="B8" s="120">
        <f>'Readiness Heatmap'!B2</f>
        <v>2</v>
      </c>
      <c r="C8" s="120" t="str">
        <f>'Readiness Heatmap'!C2</f>
        <v>Emerging</v>
      </c>
      <c r="D8" s="9"/>
      <c r="F8" s="2"/>
      <c r="G8" s="2"/>
      <c r="H8" s="2"/>
      <c r="I8" s="2"/>
      <c r="J8" s="2"/>
      <c r="K8" s="2"/>
      <c r="L8" s="2"/>
      <c r="M8" s="2"/>
      <c r="N8" s="2"/>
      <c r="O8" s="2"/>
      <c r="P8" s="2"/>
      <c r="Q8" s="2"/>
      <c r="R8" s="2"/>
      <c r="S8" s="2"/>
      <c r="T8" s="2"/>
      <c r="U8" s="2"/>
      <c r="V8" s="2"/>
      <c r="W8" s="2"/>
      <c r="X8" s="2"/>
      <c r="Y8" s="2"/>
      <c r="Z8" s="2"/>
      <c r="AA8" s="2"/>
      <c r="AB8" s="2"/>
    </row>
    <row r="9" spans="1:28">
      <c r="A9" s="4" t="s">
        <v>144</v>
      </c>
      <c r="B9" s="120" t="str">
        <f>'Readiness Heatmap'!B3</f>
        <v/>
      </c>
      <c r="C9" s="120" t="str">
        <f>'Readiness Heatmap'!C3</f>
        <v/>
      </c>
      <c r="D9" s="9"/>
      <c r="F9" s="2"/>
      <c r="G9" s="2"/>
      <c r="H9" s="2"/>
      <c r="I9" s="2"/>
      <c r="J9" s="2"/>
      <c r="K9" s="2"/>
      <c r="L9" s="2"/>
      <c r="M9" s="2"/>
      <c r="N9" s="2"/>
      <c r="O9" s="2"/>
      <c r="P9" s="2"/>
      <c r="Q9" s="2"/>
      <c r="R9" s="2"/>
      <c r="S9" s="2"/>
      <c r="T9" s="2"/>
      <c r="U9" s="2"/>
      <c r="V9" s="2"/>
      <c r="W9" s="2"/>
      <c r="X9" s="2"/>
      <c r="Y9" s="2"/>
      <c r="Z9" s="2"/>
      <c r="AA9" s="2"/>
      <c r="AB9" s="2"/>
    </row>
    <row r="10" spans="1:28">
      <c r="A10" s="4" t="s">
        <v>150</v>
      </c>
      <c r="B10" s="120">
        <f>'Readiness Heatmap'!B4</f>
        <v>1</v>
      </c>
      <c r="C10" s="120" t="str">
        <f>'Readiness Heatmap'!C4</f>
        <v>Initial</v>
      </c>
      <c r="D10" s="9"/>
      <c r="F10" s="2"/>
      <c r="G10" s="2"/>
      <c r="H10" s="2"/>
      <c r="I10" s="2"/>
      <c r="J10" s="2"/>
      <c r="K10" s="2"/>
      <c r="L10" s="2"/>
      <c r="M10" s="2"/>
      <c r="N10" s="2"/>
      <c r="O10" s="2"/>
      <c r="P10" s="2"/>
      <c r="Q10" s="2"/>
      <c r="R10" s="2"/>
      <c r="S10" s="2"/>
      <c r="T10" s="2"/>
      <c r="U10" s="2"/>
      <c r="V10" s="2"/>
      <c r="W10" s="2"/>
      <c r="X10" s="2"/>
      <c r="Y10" s="2"/>
      <c r="Z10" s="2"/>
      <c r="AA10" s="2"/>
      <c r="AB10" s="2"/>
    </row>
    <row r="11" spans="1:28">
      <c r="A11" s="4" t="s">
        <v>156</v>
      </c>
      <c r="B11" s="120" t="str">
        <f>'Readiness Heatmap'!B5</f>
        <v/>
      </c>
      <c r="C11" s="120" t="str">
        <f>'Readiness Heatmap'!C5</f>
        <v/>
      </c>
      <c r="D11" s="9"/>
      <c r="F11" s="2"/>
      <c r="G11" s="2"/>
      <c r="H11" s="2"/>
      <c r="I11" s="2"/>
      <c r="J11" s="2"/>
      <c r="K11" s="2"/>
      <c r="L11" s="2"/>
      <c r="M11" s="2"/>
      <c r="N11" s="2"/>
      <c r="O11" s="2"/>
      <c r="P11" s="2"/>
      <c r="Q11" s="2"/>
      <c r="R11" s="2"/>
      <c r="S11" s="2"/>
      <c r="T11" s="2"/>
      <c r="U11" s="2"/>
      <c r="V11" s="2"/>
      <c r="W11" s="2"/>
      <c r="X11" s="2"/>
      <c r="Y11" s="2"/>
      <c r="Z11" s="2"/>
      <c r="AA11" s="2"/>
      <c r="AB11" s="2"/>
    </row>
    <row r="12" spans="1:28">
      <c r="A12" s="4" t="s">
        <v>162</v>
      </c>
      <c r="B12" s="120" t="str">
        <f>'Readiness Heatmap'!B6</f>
        <v/>
      </c>
      <c r="C12" s="120" t="str">
        <f>'Readiness Heatmap'!C6</f>
        <v/>
      </c>
      <c r="D12" s="9"/>
      <c r="F12" s="2"/>
      <c r="G12" s="2"/>
      <c r="H12" s="2"/>
      <c r="I12" s="2"/>
      <c r="J12" s="2"/>
      <c r="K12" s="2"/>
      <c r="L12" s="2"/>
      <c r="M12" s="2"/>
      <c r="N12" s="2"/>
      <c r="O12" s="2"/>
      <c r="P12" s="2"/>
      <c r="Q12" s="2"/>
      <c r="R12" s="2"/>
      <c r="S12" s="2"/>
      <c r="T12" s="2"/>
      <c r="U12" s="2"/>
      <c r="V12" s="2"/>
      <c r="W12" s="2"/>
      <c r="X12" s="2"/>
      <c r="Y12" s="2"/>
      <c r="Z12" s="2"/>
      <c r="AA12" s="2"/>
      <c r="AB12" s="2"/>
    </row>
    <row r="13" spans="1:28">
      <c r="A13" s="4" t="s">
        <v>168</v>
      </c>
      <c r="B13" s="120" t="str">
        <f>'Readiness Heatmap'!B7</f>
        <v/>
      </c>
      <c r="C13" s="120" t="str">
        <f>'Readiness Heatmap'!C7</f>
        <v/>
      </c>
      <c r="D13" s="9"/>
      <c r="F13" s="2"/>
      <c r="G13" s="2"/>
      <c r="H13" s="2"/>
      <c r="I13" s="2"/>
      <c r="J13" s="2"/>
      <c r="K13" s="2"/>
      <c r="L13" s="2"/>
      <c r="M13" s="2"/>
      <c r="N13" s="2"/>
      <c r="O13" s="2"/>
      <c r="P13" s="2"/>
      <c r="Q13" s="2"/>
      <c r="R13" s="2"/>
      <c r="S13" s="2"/>
      <c r="T13" s="2"/>
      <c r="U13" s="2"/>
      <c r="V13" s="2"/>
      <c r="W13" s="2"/>
      <c r="X13" s="2"/>
      <c r="Y13" s="2"/>
      <c r="Z13" s="2"/>
      <c r="AA13" s="2"/>
      <c r="AB13" s="2"/>
    </row>
    <row r="14" spans="1:28">
      <c r="A14" s="4" t="s">
        <v>174</v>
      </c>
      <c r="B14" s="120" t="str">
        <f>'Readiness Heatmap'!B8</f>
        <v/>
      </c>
      <c r="C14" s="120" t="str">
        <f>'Readiness Heatmap'!C8</f>
        <v/>
      </c>
      <c r="D14" s="9"/>
      <c r="F14" s="2"/>
      <c r="G14" s="2"/>
      <c r="H14" s="2"/>
      <c r="I14" s="2"/>
      <c r="J14" s="2"/>
      <c r="K14" s="2"/>
      <c r="L14" s="2"/>
      <c r="M14" s="2"/>
      <c r="N14" s="2"/>
      <c r="O14" s="2"/>
      <c r="P14" s="2"/>
      <c r="Q14" s="2"/>
      <c r="R14" s="2"/>
      <c r="S14" s="2"/>
      <c r="T14" s="2"/>
      <c r="U14" s="2"/>
      <c r="V14" s="2"/>
      <c r="W14" s="2"/>
      <c r="X14" s="2"/>
      <c r="Y14" s="2"/>
      <c r="Z14" s="2"/>
      <c r="AA14" s="2"/>
      <c r="AB14" s="2"/>
    </row>
    <row r="15" spans="1:28">
      <c r="A15" s="4" t="s">
        <v>180</v>
      </c>
      <c r="B15" s="120" t="str">
        <f>'Readiness Heatmap'!B9</f>
        <v/>
      </c>
      <c r="C15" s="120" t="str">
        <f>'Readiness Heatmap'!C9</f>
        <v/>
      </c>
      <c r="D15" s="9"/>
      <c r="F15" s="2"/>
      <c r="G15" s="2"/>
      <c r="H15" s="2"/>
      <c r="I15" s="2"/>
      <c r="J15" s="2"/>
      <c r="K15" s="2"/>
      <c r="L15" s="2"/>
      <c r="M15" s="2"/>
      <c r="N15" s="2"/>
      <c r="O15" s="2"/>
      <c r="P15" s="2"/>
      <c r="Q15" s="2"/>
      <c r="R15" s="2"/>
      <c r="S15" s="2"/>
      <c r="T15" s="2"/>
      <c r="U15" s="2"/>
      <c r="V15" s="2"/>
      <c r="W15" s="2"/>
      <c r="X15" s="2"/>
      <c r="Y15" s="2"/>
      <c r="Z15" s="2"/>
      <c r="AA15" s="2"/>
      <c r="AB15" s="2"/>
    </row>
    <row r="16" spans="1:28">
      <c r="A16" s="4" t="s">
        <v>186</v>
      </c>
      <c r="B16" s="120" t="str">
        <f>'Readiness Heatmap'!B10</f>
        <v/>
      </c>
      <c r="C16" s="120" t="str">
        <f>'Readiness Heatmap'!C10</f>
        <v/>
      </c>
      <c r="D16" s="9"/>
      <c r="F16" s="2"/>
      <c r="G16" s="2"/>
      <c r="H16" s="2"/>
      <c r="I16" s="2"/>
      <c r="J16" s="2"/>
      <c r="K16" s="2"/>
      <c r="L16" s="2"/>
      <c r="M16" s="2"/>
      <c r="N16" s="2"/>
      <c r="O16" s="2"/>
      <c r="P16" s="2"/>
      <c r="Q16" s="2"/>
      <c r="R16" s="2"/>
      <c r="S16" s="2"/>
      <c r="T16" s="2"/>
      <c r="U16" s="2"/>
      <c r="V16" s="2"/>
      <c r="W16" s="2"/>
      <c r="X16" s="2"/>
      <c r="Y16" s="2"/>
      <c r="Z16" s="2"/>
      <c r="AA16" s="2"/>
      <c r="AB16" s="2"/>
    </row>
    <row r="17" spans="1:28">
      <c r="A17" s="4" t="s">
        <v>192</v>
      </c>
      <c r="B17" s="120" t="str">
        <f>'Readiness Heatmap'!B11</f>
        <v/>
      </c>
      <c r="C17" s="120" t="str">
        <f>'Readiness Heatmap'!C11</f>
        <v/>
      </c>
      <c r="D17" s="9"/>
      <c r="F17" s="2"/>
      <c r="G17" s="2"/>
      <c r="H17" s="2"/>
      <c r="I17" s="2"/>
      <c r="J17" s="2"/>
      <c r="K17" s="2"/>
      <c r="L17" s="2"/>
      <c r="M17" s="2"/>
      <c r="N17" s="2"/>
      <c r="O17" s="2"/>
      <c r="P17" s="2"/>
      <c r="Q17" s="2"/>
      <c r="R17" s="2"/>
      <c r="S17" s="2"/>
      <c r="T17" s="2"/>
      <c r="U17" s="2"/>
      <c r="V17" s="2"/>
      <c r="W17" s="2"/>
      <c r="X17" s="2"/>
      <c r="Y17" s="2"/>
      <c r="Z17" s="2"/>
      <c r="AA17" s="2"/>
      <c r="AB17" s="2"/>
    </row>
    <row r="18" spans="1:28">
      <c r="A18" s="2"/>
      <c r="B18" s="2"/>
      <c r="C18" s="146"/>
      <c r="D18" s="146"/>
      <c r="E18" s="2"/>
      <c r="F18" s="2"/>
      <c r="G18" s="2"/>
      <c r="H18" s="2"/>
      <c r="I18" s="2"/>
      <c r="J18" s="2"/>
      <c r="K18" s="2"/>
      <c r="L18" s="2"/>
      <c r="M18" s="2"/>
      <c r="N18" s="2"/>
      <c r="O18" s="2"/>
      <c r="P18" s="2"/>
      <c r="Q18" s="2"/>
      <c r="R18" s="2"/>
      <c r="S18" s="2"/>
      <c r="T18" s="2"/>
      <c r="U18" s="2"/>
      <c r="V18" s="2"/>
      <c r="W18" s="2"/>
      <c r="X18" s="2"/>
      <c r="Y18" s="2"/>
      <c r="Z18" s="2"/>
      <c r="AA18" s="2"/>
      <c r="AB18" s="2"/>
    </row>
    <row r="19" spans="1:28">
      <c r="A19" s="2"/>
      <c r="B19" s="2"/>
      <c r="C19" s="146"/>
      <c r="D19" s="146"/>
      <c r="E19" s="2"/>
      <c r="F19" s="2"/>
      <c r="G19" s="2"/>
      <c r="H19" s="2"/>
      <c r="I19" s="2"/>
      <c r="J19" s="2"/>
      <c r="K19" s="2"/>
      <c r="L19" s="2"/>
      <c r="M19" s="2"/>
      <c r="N19" s="2"/>
      <c r="O19" s="2"/>
      <c r="P19" s="2"/>
      <c r="Q19" s="2"/>
      <c r="R19" s="2"/>
      <c r="S19" s="2"/>
      <c r="T19" s="2"/>
      <c r="U19" s="2"/>
      <c r="V19" s="2"/>
      <c r="W19" s="2"/>
      <c r="X19" s="2"/>
      <c r="Y19" s="2"/>
      <c r="Z19" s="2"/>
      <c r="AA19" s="2"/>
      <c r="AB19" s="2"/>
    </row>
    <row r="20" spans="1:28">
      <c r="A20" s="2"/>
      <c r="B20" s="2"/>
      <c r="C20" s="146"/>
      <c r="D20" s="146"/>
      <c r="E20" s="2"/>
      <c r="F20" s="2"/>
      <c r="G20" s="2"/>
      <c r="H20" s="2"/>
      <c r="I20" s="2"/>
      <c r="J20" s="2"/>
      <c r="K20" s="2"/>
      <c r="L20" s="2"/>
      <c r="M20" s="2"/>
      <c r="N20" s="2"/>
      <c r="O20" s="2"/>
      <c r="P20" s="2"/>
      <c r="Q20" s="2"/>
      <c r="R20" s="2"/>
      <c r="S20" s="2"/>
      <c r="T20" s="2"/>
      <c r="U20" s="2"/>
      <c r="V20" s="2"/>
      <c r="W20" s="2"/>
      <c r="X20" s="2"/>
      <c r="Y20" s="2"/>
      <c r="Z20" s="2"/>
      <c r="AA20" s="2"/>
      <c r="AB20" s="2"/>
    </row>
    <row r="21" spans="1:28">
      <c r="A21" s="2"/>
      <c r="B21" s="2"/>
      <c r="C21" s="146"/>
      <c r="D21" s="146"/>
      <c r="E21" s="2"/>
      <c r="F21" s="2"/>
      <c r="G21" s="2"/>
      <c r="H21" s="2"/>
      <c r="I21" s="2"/>
      <c r="J21" s="2"/>
      <c r="K21" s="2"/>
      <c r="L21" s="2"/>
      <c r="M21" s="2"/>
      <c r="N21" s="2"/>
      <c r="O21" s="2"/>
      <c r="P21" s="2"/>
      <c r="Q21" s="2"/>
      <c r="R21" s="2"/>
      <c r="S21" s="2"/>
      <c r="T21" s="2"/>
      <c r="U21" s="2"/>
      <c r="V21" s="2"/>
      <c r="W21" s="2"/>
      <c r="X21" s="2"/>
      <c r="Y21" s="2"/>
      <c r="Z21" s="2"/>
      <c r="AA21" s="2"/>
      <c r="AB21" s="2"/>
    </row>
    <row r="22" spans="1:28">
      <c r="A22" s="2"/>
      <c r="B22" s="2"/>
      <c r="C22" s="146"/>
      <c r="D22" s="146"/>
      <c r="E22" s="2"/>
      <c r="F22" s="2"/>
      <c r="G22" s="2"/>
      <c r="H22" s="2"/>
      <c r="I22" s="2"/>
      <c r="J22" s="2"/>
      <c r="K22" s="2"/>
      <c r="L22" s="2"/>
      <c r="M22" s="2"/>
      <c r="N22" s="2"/>
      <c r="O22" s="2"/>
      <c r="P22" s="2"/>
      <c r="Q22" s="2"/>
      <c r="R22" s="2"/>
      <c r="S22" s="2"/>
      <c r="T22" s="2"/>
      <c r="U22" s="2"/>
      <c r="V22" s="2"/>
      <c r="W22" s="2"/>
      <c r="X22" s="2"/>
      <c r="Y22" s="2"/>
      <c r="Z22" s="2"/>
      <c r="AA22" s="2"/>
      <c r="AB22" s="2"/>
    </row>
    <row r="23" spans="1:28">
      <c r="A23" s="2"/>
      <c r="B23" s="2"/>
      <c r="C23" s="146"/>
      <c r="D23" s="146"/>
      <c r="E23" s="2"/>
      <c r="F23" s="2"/>
      <c r="G23" s="2"/>
      <c r="H23" s="2"/>
      <c r="I23" s="2"/>
      <c r="J23" s="2"/>
      <c r="K23" s="2"/>
      <c r="L23" s="2"/>
      <c r="M23" s="2"/>
      <c r="N23" s="2"/>
      <c r="O23" s="2"/>
      <c r="P23" s="2"/>
      <c r="Q23" s="2"/>
      <c r="R23" s="2"/>
      <c r="S23" s="2"/>
      <c r="T23" s="2"/>
      <c r="U23" s="2"/>
      <c r="V23" s="2"/>
      <c r="W23" s="2"/>
      <c r="X23" s="2"/>
      <c r="Y23" s="2"/>
      <c r="Z23" s="2"/>
      <c r="AA23" s="2"/>
      <c r="AB23" s="2"/>
    </row>
    <row r="24" spans="1:28">
      <c r="A24" s="2"/>
      <c r="B24" s="2"/>
      <c r="C24" s="146"/>
      <c r="D24" s="146"/>
      <c r="E24" s="2"/>
      <c r="F24" s="2"/>
      <c r="G24" s="2"/>
      <c r="H24" s="2"/>
      <c r="I24" s="2"/>
      <c r="J24" s="2"/>
      <c r="K24" s="2"/>
      <c r="L24" s="2"/>
      <c r="M24" s="2"/>
      <c r="N24" s="2"/>
      <c r="O24" s="2"/>
      <c r="P24" s="2"/>
      <c r="Q24" s="2"/>
      <c r="R24" s="2"/>
      <c r="S24" s="2"/>
      <c r="T24" s="2"/>
      <c r="U24" s="2"/>
      <c r="V24" s="2"/>
      <c r="W24" s="2"/>
      <c r="X24" s="2"/>
      <c r="Y24" s="2"/>
      <c r="Z24" s="2"/>
      <c r="AA24" s="2"/>
      <c r="AB24" s="2"/>
    </row>
    <row r="25" spans="1:28">
      <c r="A25" s="2"/>
      <c r="B25" s="2"/>
      <c r="C25" s="146"/>
      <c r="D25" s="146"/>
      <c r="E25" s="2"/>
      <c r="F25" s="2"/>
      <c r="G25" s="2"/>
      <c r="H25" s="2"/>
      <c r="I25" s="2"/>
      <c r="J25" s="2"/>
      <c r="K25" s="2"/>
      <c r="L25" s="2"/>
      <c r="M25" s="2"/>
      <c r="N25" s="2"/>
      <c r="O25" s="2"/>
      <c r="P25" s="2"/>
      <c r="Q25" s="2"/>
      <c r="R25" s="2"/>
      <c r="S25" s="2"/>
      <c r="T25" s="2"/>
      <c r="U25" s="2"/>
      <c r="V25" s="2"/>
      <c r="W25" s="2"/>
      <c r="X25" s="2"/>
      <c r="Y25" s="2"/>
      <c r="Z25" s="2"/>
      <c r="AA25" s="2"/>
      <c r="AB25" s="2"/>
    </row>
    <row r="26" spans="1:28">
      <c r="A26" s="2"/>
      <c r="B26" s="2"/>
      <c r="C26" s="146"/>
      <c r="D26" s="146"/>
      <c r="E26" s="2"/>
      <c r="F26" s="2"/>
      <c r="G26" s="2"/>
      <c r="H26" s="2"/>
      <c r="I26" s="2"/>
      <c r="J26" s="2"/>
      <c r="K26" s="2"/>
      <c r="L26" s="2"/>
      <c r="M26" s="2"/>
      <c r="N26" s="2"/>
      <c r="O26" s="2"/>
      <c r="P26" s="2"/>
      <c r="Q26" s="2"/>
      <c r="R26" s="2"/>
      <c r="S26" s="2"/>
      <c r="T26" s="2"/>
      <c r="U26" s="2"/>
      <c r="V26" s="2"/>
      <c r="W26" s="2"/>
      <c r="X26" s="2"/>
      <c r="Y26" s="2"/>
      <c r="Z26" s="2"/>
      <c r="AA26" s="2"/>
      <c r="AB26" s="2"/>
    </row>
    <row r="27" spans="1:28">
      <c r="A27" s="2"/>
      <c r="B27" s="2"/>
      <c r="C27" s="146"/>
      <c r="D27" s="146"/>
      <c r="E27" s="2"/>
      <c r="F27" s="2"/>
      <c r="G27" s="2"/>
      <c r="H27" s="2"/>
      <c r="I27" s="2"/>
      <c r="J27" s="2"/>
      <c r="K27" s="2"/>
      <c r="L27" s="2"/>
      <c r="M27" s="2"/>
      <c r="N27" s="2"/>
      <c r="O27" s="2"/>
      <c r="P27" s="2"/>
      <c r="Q27" s="2"/>
      <c r="R27" s="2"/>
      <c r="S27" s="2"/>
      <c r="T27" s="2"/>
      <c r="U27" s="2"/>
      <c r="V27" s="2"/>
      <c r="W27" s="2"/>
      <c r="X27" s="2"/>
      <c r="Y27" s="2"/>
      <c r="Z27" s="2"/>
      <c r="AA27" s="2"/>
      <c r="AB27" s="2"/>
    </row>
    <row r="28" spans="1:28">
      <c r="A28" s="2"/>
      <c r="B28" s="2"/>
      <c r="C28" s="146"/>
      <c r="D28" s="146"/>
      <c r="E28" s="2"/>
      <c r="F28" s="2"/>
      <c r="G28" s="2"/>
      <c r="H28" s="2"/>
      <c r="I28" s="2"/>
      <c r="J28" s="2"/>
      <c r="K28" s="2"/>
      <c r="L28" s="2"/>
      <c r="M28" s="2"/>
      <c r="N28" s="2"/>
      <c r="O28" s="2"/>
      <c r="P28" s="2"/>
      <c r="Q28" s="2"/>
      <c r="R28" s="2"/>
      <c r="S28" s="2"/>
      <c r="T28" s="2"/>
      <c r="U28" s="2"/>
      <c r="V28" s="2"/>
      <c r="W28" s="2"/>
      <c r="X28" s="2"/>
      <c r="Y28" s="2"/>
      <c r="Z28" s="2"/>
      <c r="AA28" s="2"/>
      <c r="AB28" s="2"/>
    </row>
    <row r="29" spans="1:28">
      <c r="A29" s="2"/>
      <c r="B29" s="2"/>
      <c r="C29" s="146"/>
      <c r="D29" s="146"/>
      <c r="E29" s="2"/>
      <c r="F29" s="2"/>
      <c r="G29" s="2"/>
      <c r="H29" s="2"/>
      <c r="I29" s="2"/>
      <c r="J29" s="2"/>
      <c r="K29" s="2"/>
      <c r="L29" s="2"/>
      <c r="M29" s="2"/>
      <c r="N29" s="2"/>
      <c r="O29" s="2"/>
      <c r="P29" s="2"/>
      <c r="Q29" s="2"/>
      <c r="R29" s="2"/>
      <c r="S29" s="2"/>
      <c r="T29" s="2"/>
      <c r="U29" s="2"/>
      <c r="V29" s="2"/>
      <c r="W29" s="2"/>
      <c r="X29" s="2"/>
      <c r="Y29" s="2"/>
      <c r="Z29" s="2"/>
      <c r="AA29" s="2"/>
      <c r="AB29" s="2"/>
    </row>
    <row r="30" spans="1:28">
      <c r="A30" s="2"/>
      <c r="B30" s="2"/>
      <c r="C30" s="146"/>
      <c r="D30" s="146"/>
      <c r="E30" s="2"/>
      <c r="F30" s="2"/>
      <c r="G30" s="2"/>
      <c r="H30" s="2"/>
      <c r="I30" s="2"/>
      <c r="J30" s="2"/>
      <c r="K30" s="2"/>
      <c r="L30" s="2"/>
      <c r="M30" s="2"/>
      <c r="N30" s="2"/>
      <c r="O30" s="2"/>
      <c r="P30" s="2"/>
      <c r="Q30" s="2"/>
      <c r="R30" s="2"/>
      <c r="S30" s="2"/>
      <c r="T30" s="2"/>
      <c r="U30" s="2"/>
      <c r="V30" s="2"/>
      <c r="W30" s="2"/>
      <c r="X30" s="2"/>
      <c r="Y30" s="2"/>
      <c r="Z30" s="2"/>
      <c r="AA30" s="2"/>
      <c r="AB30" s="2"/>
    </row>
    <row r="31" spans="1:28">
      <c r="A31" s="2"/>
      <c r="B31" s="2"/>
      <c r="C31" s="146"/>
      <c r="D31" s="146"/>
      <c r="E31" s="2"/>
      <c r="F31" s="2"/>
      <c r="G31" s="2"/>
      <c r="H31" s="2"/>
      <c r="I31" s="2"/>
      <c r="J31" s="2"/>
      <c r="K31" s="2"/>
      <c r="L31" s="2"/>
      <c r="M31" s="2"/>
      <c r="N31" s="2"/>
      <c r="O31" s="2"/>
      <c r="P31" s="2"/>
      <c r="Q31" s="2"/>
      <c r="R31" s="2"/>
      <c r="S31" s="2"/>
      <c r="T31" s="2"/>
      <c r="U31" s="2"/>
      <c r="V31" s="2"/>
      <c r="W31" s="2"/>
      <c r="X31" s="2"/>
      <c r="Y31" s="2"/>
      <c r="Z31" s="2"/>
      <c r="AA31" s="2"/>
      <c r="AB31" s="2"/>
    </row>
    <row r="32" spans="1:28">
      <c r="A32" s="2"/>
      <c r="B32" s="2"/>
      <c r="C32" s="146"/>
      <c r="D32" s="146"/>
      <c r="E32" s="2"/>
      <c r="F32" s="2"/>
      <c r="G32" s="2"/>
      <c r="H32" s="2"/>
      <c r="I32" s="2"/>
      <c r="J32" s="2"/>
      <c r="K32" s="2"/>
      <c r="L32" s="2"/>
      <c r="M32" s="2"/>
      <c r="N32" s="2"/>
      <c r="O32" s="2"/>
      <c r="P32" s="2"/>
      <c r="Q32" s="2"/>
      <c r="R32" s="2"/>
      <c r="S32" s="2"/>
      <c r="T32" s="2"/>
      <c r="U32" s="2"/>
      <c r="V32" s="2"/>
      <c r="W32" s="2"/>
      <c r="X32" s="2"/>
      <c r="Y32" s="2"/>
      <c r="Z32" s="2"/>
      <c r="AA32" s="2"/>
      <c r="AB32" s="2"/>
    </row>
    <row r="33" spans="1:28">
      <c r="A33" s="2"/>
      <c r="B33" s="2"/>
      <c r="C33" s="146"/>
      <c r="D33" s="146"/>
      <c r="E33" s="2"/>
      <c r="F33" s="2"/>
      <c r="G33" s="2"/>
      <c r="H33" s="2"/>
      <c r="I33" s="2"/>
      <c r="J33" s="2"/>
      <c r="K33" s="2"/>
      <c r="L33" s="2"/>
      <c r="M33" s="2"/>
      <c r="N33" s="2"/>
      <c r="O33" s="2"/>
      <c r="P33" s="2"/>
      <c r="Q33" s="2"/>
      <c r="R33" s="2"/>
      <c r="S33" s="2"/>
      <c r="T33" s="2"/>
      <c r="U33" s="2"/>
      <c r="V33" s="2"/>
      <c r="W33" s="2"/>
      <c r="X33" s="2"/>
      <c r="Y33" s="2"/>
      <c r="Z33" s="2"/>
      <c r="AA33" s="2"/>
      <c r="AB33" s="2"/>
    </row>
    <row r="34" spans="1:28">
      <c r="A34" s="2"/>
      <c r="B34" s="2"/>
      <c r="C34" s="146"/>
      <c r="D34" s="146"/>
      <c r="E34" s="2"/>
      <c r="F34" s="2"/>
      <c r="G34" s="2"/>
      <c r="H34" s="2"/>
      <c r="I34" s="2"/>
      <c r="J34" s="2"/>
      <c r="K34" s="2"/>
      <c r="L34" s="2"/>
      <c r="M34" s="2"/>
      <c r="N34" s="2"/>
      <c r="O34" s="2"/>
      <c r="P34" s="2"/>
      <c r="Q34" s="2"/>
      <c r="R34" s="2"/>
      <c r="S34" s="2"/>
      <c r="T34" s="2"/>
      <c r="U34" s="2"/>
      <c r="V34" s="2"/>
      <c r="W34" s="2"/>
      <c r="X34" s="2"/>
      <c r="Y34" s="2"/>
      <c r="Z34" s="2"/>
      <c r="AA34" s="2"/>
      <c r="AB34" s="2"/>
    </row>
    <row r="35" spans="1:28">
      <c r="A35" s="2"/>
      <c r="B35" s="2"/>
      <c r="C35" s="146"/>
      <c r="D35" s="146"/>
      <c r="E35" s="2"/>
      <c r="F35" s="2"/>
      <c r="G35" s="2"/>
      <c r="H35" s="2"/>
      <c r="I35" s="2"/>
      <c r="J35" s="2"/>
      <c r="K35" s="2"/>
      <c r="L35" s="2"/>
      <c r="M35" s="2"/>
      <c r="N35" s="2"/>
      <c r="O35" s="2"/>
      <c r="P35" s="2"/>
      <c r="Q35" s="2"/>
      <c r="R35" s="2"/>
      <c r="S35" s="2"/>
      <c r="T35" s="2"/>
      <c r="U35" s="2"/>
      <c r="V35" s="2"/>
      <c r="W35" s="2"/>
      <c r="X35" s="2"/>
      <c r="Y35" s="2"/>
      <c r="Z35" s="2"/>
      <c r="AA35" s="2"/>
      <c r="AB35" s="2"/>
    </row>
    <row r="36" spans="1:28">
      <c r="A36" s="2"/>
      <c r="B36" s="2"/>
      <c r="C36" s="146"/>
      <c r="D36" s="146"/>
      <c r="E36" s="2"/>
      <c r="F36" s="2"/>
      <c r="G36" s="2"/>
      <c r="H36" s="2"/>
      <c r="I36" s="2"/>
      <c r="J36" s="2"/>
      <c r="K36" s="2"/>
      <c r="L36" s="2"/>
      <c r="M36" s="2"/>
      <c r="N36" s="2"/>
      <c r="O36" s="2"/>
      <c r="P36" s="2"/>
      <c r="Q36" s="2"/>
      <c r="R36" s="2"/>
      <c r="S36" s="2"/>
      <c r="T36" s="2"/>
      <c r="U36" s="2"/>
      <c r="V36" s="2"/>
      <c r="W36" s="2"/>
      <c r="X36" s="2"/>
      <c r="Y36" s="2"/>
      <c r="Z36" s="2"/>
      <c r="AA36" s="2"/>
      <c r="AB36" s="2"/>
    </row>
    <row r="37" spans="1:28">
      <c r="A37" s="2"/>
      <c r="B37" s="2"/>
      <c r="C37" s="146"/>
      <c r="D37" s="146"/>
      <c r="E37" s="2"/>
      <c r="F37" s="2"/>
      <c r="G37" s="2"/>
      <c r="H37" s="2"/>
      <c r="I37" s="2"/>
      <c r="J37" s="2"/>
      <c r="K37" s="2"/>
      <c r="L37" s="2"/>
      <c r="M37" s="2"/>
      <c r="N37" s="2"/>
      <c r="O37" s="2"/>
      <c r="P37" s="2"/>
      <c r="Q37" s="2"/>
      <c r="R37" s="2"/>
      <c r="S37" s="2"/>
      <c r="T37" s="2"/>
      <c r="U37" s="2"/>
      <c r="V37" s="2"/>
      <c r="W37" s="2"/>
      <c r="X37" s="2"/>
      <c r="Y37" s="2"/>
      <c r="Z37" s="2"/>
      <c r="AA37" s="2"/>
      <c r="AB37" s="2"/>
    </row>
    <row r="38" spans="1:28">
      <c r="A38" s="2"/>
      <c r="B38" s="2"/>
      <c r="C38" s="146"/>
      <c r="D38" s="146"/>
      <c r="E38" s="2"/>
      <c r="F38" s="2"/>
      <c r="G38" s="2"/>
      <c r="H38" s="2"/>
      <c r="I38" s="2"/>
      <c r="J38" s="2"/>
      <c r="K38" s="2"/>
      <c r="L38" s="2"/>
      <c r="M38" s="2"/>
      <c r="N38" s="2"/>
      <c r="O38" s="2"/>
      <c r="P38" s="2"/>
      <c r="Q38" s="2"/>
      <c r="R38" s="2"/>
      <c r="S38" s="2"/>
      <c r="T38" s="2"/>
      <c r="U38" s="2"/>
      <c r="V38" s="2"/>
      <c r="W38" s="2"/>
      <c r="X38" s="2"/>
      <c r="Y38" s="2"/>
      <c r="Z38" s="2"/>
      <c r="AA38" s="2"/>
      <c r="AB38" s="2"/>
    </row>
    <row r="39" spans="1:28">
      <c r="A39" s="2"/>
      <c r="B39" s="2"/>
      <c r="C39" s="146"/>
      <c r="D39" s="146"/>
      <c r="E39" s="2"/>
      <c r="F39" s="2"/>
      <c r="G39" s="2"/>
      <c r="H39" s="2"/>
      <c r="I39" s="2"/>
      <c r="J39" s="2"/>
      <c r="K39" s="2"/>
      <c r="L39" s="2"/>
      <c r="M39" s="2"/>
      <c r="N39" s="2"/>
      <c r="O39" s="2"/>
      <c r="P39" s="2"/>
      <c r="Q39" s="2"/>
      <c r="R39" s="2"/>
      <c r="S39" s="2"/>
      <c r="T39" s="2"/>
      <c r="U39" s="2"/>
      <c r="V39" s="2"/>
      <c r="W39" s="2"/>
      <c r="X39" s="2"/>
      <c r="Y39" s="2"/>
      <c r="Z39" s="2"/>
      <c r="AA39" s="2"/>
      <c r="AB39" s="2"/>
    </row>
    <row r="40" spans="1:28">
      <c r="A40" s="2"/>
      <c r="B40" s="2"/>
      <c r="C40" s="146"/>
      <c r="D40" s="146"/>
      <c r="E40" s="2"/>
      <c r="F40" s="2"/>
      <c r="G40" s="2"/>
      <c r="H40" s="2"/>
      <c r="I40" s="2"/>
      <c r="J40" s="2"/>
      <c r="K40" s="2"/>
      <c r="L40" s="2"/>
      <c r="M40" s="2"/>
      <c r="N40" s="2"/>
      <c r="O40" s="2"/>
      <c r="P40" s="2"/>
      <c r="Q40" s="2"/>
      <c r="R40" s="2"/>
      <c r="S40" s="2"/>
      <c r="T40" s="2"/>
      <c r="U40" s="2"/>
      <c r="V40" s="2"/>
      <c r="W40" s="2"/>
      <c r="X40" s="2"/>
      <c r="Y40" s="2"/>
      <c r="Z40" s="2"/>
      <c r="AA40" s="2"/>
      <c r="AB40" s="2"/>
    </row>
    <row r="41" spans="1:28">
      <c r="A41" s="2"/>
      <c r="B41" s="2"/>
      <c r="C41" s="146"/>
      <c r="D41" s="146"/>
      <c r="E41" s="2"/>
      <c r="F41" s="2"/>
      <c r="G41" s="2"/>
      <c r="H41" s="2"/>
      <c r="I41" s="2"/>
      <c r="J41" s="2"/>
      <c r="K41" s="2"/>
      <c r="L41" s="2"/>
      <c r="M41" s="2"/>
      <c r="N41" s="2"/>
      <c r="O41" s="2"/>
      <c r="P41" s="2"/>
      <c r="Q41" s="2"/>
      <c r="R41" s="2"/>
      <c r="S41" s="2"/>
      <c r="T41" s="2"/>
      <c r="U41" s="2"/>
      <c r="V41" s="2"/>
      <c r="W41" s="2"/>
      <c r="X41" s="2"/>
      <c r="Y41" s="2"/>
      <c r="Z41" s="2"/>
      <c r="AA41" s="2"/>
      <c r="AB41" s="2"/>
    </row>
    <row r="42" spans="1:28">
      <c r="A42" s="2"/>
      <c r="B42" s="2"/>
      <c r="C42" s="146"/>
      <c r="D42" s="146"/>
      <c r="E42" s="2"/>
      <c r="F42" s="2"/>
      <c r="G42" s="2"/>
      <c r="H42" s="2"/>
      <c r="I42" s="2"/>
      <c r="J42" s="2"/>
      <c r="K42" s="2"/>
      <c r="L42" s="2"/>
      <c r="M42" s="2"/>
      <c r="N42" s="2"/>
      <c r="O42" s="2"/>
      <c r="P42" s="2"/>
      <c r="Q42" s="2"/>
      <c r="R42" s="2"/>
      <c r="S42" s="2"/>
      <c r="T42" s="2"/>
      <c r="U42" s="2"/>
      <c r="V42" s="2"/>
      <c r="W42" s="2"/>
      <c r="X42" s="2"/>
      <c r="Y42" s="2"/>
      <c r="Z42" s="2"/>
      <c r="AA42" s="2"/>
      <c r="AB42" s="2"/>
    </row>
    <row r="43" spans="1:28">
      <c r="A43" s="2"/>
      <c r="B43" s="2"/>
      <c r="C43" s="146"/>
      <c r="D43" s="146"/>
      <c r="E43" s="2"/>
      <c r="F43" s="2"/>
      <c r="G43" s="2"/>
      <c r="H43" s="2"/>
      <c r="I43" s="2"/>
      <c r="J43" s="2"/>
      <c r="K43" s="2"/>
      <c r="L43" s="2"/>
      <c r="M43" s="2"/>
      <c r="N43" s="2"/>
      <c r="O43" s="2"/>
      <c r="P43" s="2"/>
      <c r="Q43" s="2"/>
      <c r="R43" s="2"/>
      <c r="S43" s="2"/>
      <c r="T43" s="2"/>
      <c r="U43" s="2"/>
      <c r="V43" s="2"/>
      <c r="W43" s="2"/>
      <c r="X43" s="2"/>
      <c r="Y43" s="2"/>
      <c r="Z43" s="2"/>
      <c r="AA43" s="2"/>
      <c r="AB43" s="2"/>
    </row>
    <row r="44" spans="1:28">
      <c r="A44" s="2"/>
      <c r="B44" s="2"/>
      <c r="C44" s="146"/>
      <c r="D44" s="146"/>
      <c r="E44" s="2"/>
      <c r="F44" s="2"/>
      <c r="G44" s="2"/>
      <c r="H44" s="2"/>
      <c r="I44" s="2"/>
      <c r="J44" s="2"/>
      <c r="K44" s="2"/>
      <c r="L44" s="2"/>
      <c r="M44" s="2"/>
      <c r="N44" s="2"/>
      <c r="O44" s="2"/>
      <c r="P44" s="2"/>
      <c r="Q44" s="2"/>
      <c r="R44" s="2"/>
      <c r="S44" s="2"/>
      <c r="T44" s="2"/>
      <c r="U44" s="2"/>
      <c r="V44" s="2"/>
      <c r="W44" s="2"/>
      <c r="X44" s="2"/>
      <c r="Y44" s="2"/>
      <c r="Z44" s="2"/>
      <c r="AA44" s="2"/>
      <c r="AB44" s="2"/>
    </row>
    <row r="45" spans="1:28">
      <c r="A45" s="2"/>
      <c r="B45" s="2"/>
      <c r="C45" s="146"/>
      <c r="D45" s="146"/>
      <c r="E45" s="2"/>
      <c r="F45" s="2"/>
      <c r="G45" s="2"/>
      <c r="H45" s="2"/>
      <c r="I45" s="2"/>
      <c r="J45" s="2"/>
      <c r="K45" s="2"/>
      <c r="L45" s="2"/>
      <c r="M45" s="2"/>
      <c r="N45" s="2"/>
      <c r="O45" s="2"/>
      <c r="P45" s="2"/>
      <c r="Q45" s="2"/>
      <c r="R45" s="2"/>
      <c r="S45" s="2"/>
      <c r="T45" s="2"/>
      <c r="U45" s="2"/>
      <c r="V45" s="2"/>
      <c r="W45" s="2"/>
      <c r="X45" s="2"/>
      <c r="Y45" s="2"/>
      <c r="Z45" s="2"/>
      <c r="AA45" s="2"/>
      <c r="AB45" s="2"/>
    </row>
    <row r="46" spans="1:28">
      <c r="A46" s="2"/>
      <c r="B46" s="2"/>
      <c r="C46" s="146"/>
      <c r="D46" s="146"/>
      <c r="E46" s="2"/>
      <c r="F46" s="2"/>
      <c r="G46" s="2"/>
      <c r="H46" s="2"/>
      <c r="I46" s="2"/>
      <c r="J46" s="2"/>
      <c r="K46" s="2"/>
      <c r="L46" s="2"/>
      <c r="M46" s="2"/>
      <c r="N46" s="2"/>
      <c r="O46" s="2"/>
      <c r="P46" s="2"/>
      <c r="Q46" s="2"/>
      <c r="R46" s="2"/>
      <c r="S46" s="2"/>
      <c r="T46" s="2"/>
      <c r="U46" s="2"/>
      <c r="V46" s="2"/>
      <c r="W46" s="2"/>
      <c r="X46" s="2"/>
      <c r="Y46" s="2"/>
      <c r="Z46" s="2"/>
      <c r="AA46" s="2"/>
      <c r="AB46" s="2"/>
    </row>
    <row r="47" spans="1:28">
      <c r="A47" s="2"/>
      <c r="B47" s="2"/>
      <c r="C47" s="146"/>
      <c r="D47" s="146"/>
      <c r="E47" s="2"/>
      <c r="F47" s="2"/>
      <c r="G47" s="2"/>
      <c r="H47" s="2"/>
      <c r="I47" s="2"/>
      <c r="J47" s="2"/>
      <c r="K47" s="2"/>
      <c r="L47" s="2"/>
      <c r="M47" s="2"/>
      <c r="N47" s="2"/>
      <c r="O47" s="2"/>
      <c r="P47" s="2"/>
      <c r="Q47" s="2"/>
      <c r="R47" s="2"/>
      <c r="S47" s="2"/>
      <c r="T47" s="2"/>
      <c r="U47" s="2"/>
      <c r="V47" s="2"/>
      <c r="W47" s="2"/>
      <c r="X47" s="2"/>
      <c r="Y47" s="2"/>
      <c r="Z47" s="2"/>
      <c r="AA47" s="2"/>
      <c r="AB47" s="2"/>
    </row>
    <row r="48" spans="1:28">
      <c r="A48" s="2"/>
      <c r="B48" s="2"/>
      <c r="C48" s="146"/>
      <c r="D48" s="146"/>
      <c r="E48" s="2"/>
      <c r="F48" s="2"/>
      <c r="G48" s="2"/>
      <c r="H48" s="2"/>
      <c r="I48" s="2"/>
      <c r="J48" s="2"/>
      <c r="K48" s="2"/>
      <c r="L48" s="2"/>
      <c r="M48" s="2"/>
      <c r="N48" s="2"/>
      <c r="O48" s="2"/>
      <c r="P48" s="2"/>
      <c r="Q48" s="2"/>
      <c r="R48" s="2"/>
      <c r="S48" s="2"/>
      <c r="T48" s="2"/>
      <c r="U48" s="2"/>
      <c r="V48" s="2"/>
      <c r="W48" s="2"/>
      <c r="X48" s="2"/>
      <c r="Y48" s="2"/>
      <c r="Z48" s="2"/>
      <c r="AA48" s="2"/>
      <c r="AB48" s="2"/>
    </row>
    <row r="49" spans="1:28">
      <c r="A49" s="2"/>
      <c r="B49" s="2"/>
      <c r="C49" s="146"/>
      <c r="D49" s="146"/>
      <c r="E49" s="2"/>
      <c r="F49" s="2"/>
      <c r="G49" s="2"/>
      <c r="H49" s="2"/>
      <c r="I49" s="2"/>
      <c r="J49" s="2"/>
      <c r="K49" s="2"/>
      <c r="L49" s="2"/>
      <c r="M49" s="2"/>
      <c r="N49" s="2"/>
      <c r="O49" s="2"/>
      <c r="P49" s="2"/>
      <c r="Q49" s="2"/>
      <c r="R49" s="2"/>
      <c r="S49" s="2"/>
      <c r="T49" s="2"/>
      <c r="U49" s="2"/>
      <c r="V49" s="2"/>
      <c r="W49" s="2"/>
      <c r="X49" s="2"/>
      <c r="Y49" s="2"/>
      <c r="Z49" s="2"/>
      <c r="AA49" s="2"/>
      <c r="AB49" s="2"/>
    </row>
    <row r="50" spans="1:28">
      <c r="A50" s="2"/>
      <c r="B50" s="2"/>
      <c r="C50" s="146"/>
      <c r="D50" s="146"/>
      <c r="E50" s="2"/>
      <c r="F50" s="2"/>
      <c r="G50" s="2"/>
      <c r="H50" s="2"/>
      <c r="I50" s="2"/>
      <c r="J50" s="2"/>
      <c r="K50" s="2"/>
      <c r="L50" s="2"/>
      <c r="M50" s="2"/>
      <c r="N50" s="2"/>
      <c r="O50" s="2"/>
      <c r="P50" s="2"/>
      <c r="Q50" s="2"/>
      <c r="R50" s="2"/>
      <c r="S50" s="2"/>
      <c r="T50" s="2"/>
      <c r="U50" s="2"/>
      <c r="V50" s="2"/>
      <c r="W50" s="2"/>
      <c r="X50" s="2"/>
      <c r="Y50" s="2"/>
      <c r="Z50" s="2"/>
      <c r="AA50" s="2"/>
      <c r="AB50" s="2"/>
    </row>
    <row r="51" spans="1:28">
      <c r="A51" s="2"/>
      <c r="B51" s="2"/>
      <c r="C51" s="146"/>
      <c r="D51" s="146"/>
      <c r="E51" s="2"/>
      <c r="F51" s="2"/>
      <c r="G51" s="2"/>
      <c r="H51" s="2"/>
      <c r="I51" s="2"/>
      <c r="J51" s="2"/>
      <c r="K51" s="2"/>
      <c r="L51" s="2"/>
      <c r="M51" s="2"/>
      <c r="N51" s="2"/>
      <c r="O51" s="2"/>
      <c r="P51" s="2"/>
      <c r="Q51" s="2"/>
      <c r="R51" s="2"/>
      <c r="S51" s="2"/>
      <c r="T51" s="2"/>
      <c r="U51" s="2"/>
      <c r="V51" s="2"/>
      <c r="W51" s="2"/>
      <c r="X51" s="2"/>
      <c r="Y51" s="2"/>
      <c r="Z51" s="2"/>
      <c r="AA51" s="2"/>
      <c r="AB51" s="2"/>
    </row>
    <row r="52" spans="1:28">
      <c r="A52" s="2"/>
      <c r="B52" s="2"/>
      <c r="C52" s="146"/>
      <c r="D52" s="146"/>
      <c r="E52" s="2"/>
      <c r="F52" s="2"/>
      <c r="G52" s="2"/>
      <c r="H52" s="2"/>
      <c r="I52" s="2"/>
      <c r="J52" s="2"/>
      <c r="K52" s="2"/>
      <c r="L52" s="2"/>
      <c r="M52" s="2"/>
      <c r="N52" s="2"/>
      <c r="O52" s="2"/>
      <c r="P52" s="2"/>
      <c r="Q52" s="2"/>
      <c r="R52" s="2"/>
      <c r="S52" s="2"/>
      <c r="T52" s="2"/>
      <c r="U52" s="2"/>
      <c r="V52" s="2"/>
      <c r="W52" s="2"/>
      <c r="X52" s="2"/>
      <c r="Y52" s="2"/>
      <c r="Z52" s="2"/>
      <c r="AA52" s="2"/>
      <c r="AB52" s="2"/>
    </row>
    <row r="53" spans="1:28">
      <c r="A53" s="2"/>
      <c r="B53" s="2"/>
      <c r="C53" s="146"/>
      <c r="D53" s="146"/>
      <c r="E53" s="2"/>
      <c r="F53" s="2"/>
      <c r="G53" s="2"/>
      <c r="H53" s="2"/>
      <c r="I53" s="2"/>
      <c r="J53" s="2"/>
      <c r="K53" s="2"/>
      <c r="L53" s="2"/>
      <c r="M53" s="2"/>
      <c r="N53" s="2"/>
      <c r="O53" s="2"/>
      <c r="P53" s="2"/>
      <c r="Q53" s="2"/>
      <c r="R53" s="2"/>
      <c r="S53" s="2"/>
      <c r="T53" s="2"/>
      <c r="U53" s="2"/>
      <c r="V53" s="2"/>
      <c r="W53" s="2"/>
      <c r="X53" s="2"/>
      <c r="Y53" s="2"/>
      <c r="Z53" s="2"/>
      <c r="AA53" s="2"/>
      <c r="AB53" s="2"/>
    </row>
    <row r="54" spans="1:28">
      <c r="A54" s="2"/>
      <c r="B54" s="2"/>
      <c r="C54" s="146"/>
      <c r="D54" s="146"/>
      <c r="E54" s="2"/>
      <c r="F54" s="2"/>
      <c r="G54" s="2"/>
      <c r="H54" s="2"/>
      <c r="I54" s="2"/>
      <c r="J54" s="2"/>
      <c r="K54" s="2"/>
      <c r="L54" s="2"/>
      <c r="M54" s="2"/>
      <c r="N54" s="2"/>
      <c r="O54" s="2"/>
      <c r="P54" s="2"/>
      <c r="Q54" s="2"/>
      <c r="R54" s="2"/>
      <c r="S54" s="2"/>
      <c r="T54" s="2"/>
      <c r="U54" s="2"/>
      <c r="V54" s="2"/>
      <c r="W54" s="2"/>
      <c r="X54" s="2"/>
      <c r="Y54" s="2"/>
      <c r="Z54" s="2"/>
      <c r="AA54" s="2"/>
      <c r="AB54" s="2"/>
    </row>
    <row r="55" spans="1:28">
      <c r="A55" s="2"/>
      <c r="B55" s="2"/>
      <c r="C55" s="146"/>
      <c r="D55" s="146"/>
      <c r="E55" s="2"/>
      <c r="F55" s="2"/>
      <c r="G55" s="2"/>
      <c r="H55" s="2"/>
      <c r="I55" s="2"/>
      <c r="J55" s="2"/>
      <c r="K55" s="2"/>
      <c r="L55" s="2"/>
      <c r="M55" s="2"/>
      <c r="N55" s="2"/>
      <c r="O55" s="2"/>
      <c r="P55" s="2"/>
      <c r="Q55" s="2"/>
      <c r="R55" s="2"/>
      <c r="S55" s="2"/>
      <c r="T55" s="2"/>
      <c r="U55" s="2"/>
      <c r="V55" s="2"/>
      <c r="W55" s="2"/>
      <c r="X55" s="2"/>
      <c r="Y55" s="2"/>
      <c r="Z55" s="2"/>
      <c r="AA55" s="2"/>
      <c r="AB55" s="2"/>
    </row>
    <row r="56" spans="1:28">
      <c r="A56" s="2"/>
      <c r="B56" s="2"/>
      <c r="C56" s="146"/>
      <c r="D56" s="146"/>
      <c r="E56" s="2"/>
      <c r="F56" s="2"/>
      <c r="G56" s="2"/>
      <c r="H56" s="2"/>
      <c r="I56" s="2"/>
      <c r="J56" s="2"/>
      <c r="K56" s="2"/>
      <c r="L56" s="2"/>
      <c r="M56" s="2"/>
      <c r="N56" s="2"/>
      <c r="O56" s="2"/>
      <c r="P56" s="2"/>
      <c r="Q56" s="2"/>
      <c r="R56" s="2"/>
      <c r="S56" s="2"/>
      <c r="T56" s="2"/>
      <c r="U56" s="2"/>
      <c r="V56" s="2"/>
      <c r="W56" s="2"/>
      <c r="X56" s="2"/>
      <c r="Y56" s="2"/>
      <c r="Z56" s="2"/>
      <c r="AA56" s="2"/>
      <c r="AB56" s="2"/>
    </row>
    <row r="57" spans="1:28">
      <c r="A57" s="2"/>
      <c r="B57" s="2"/>
      <c r="C57" s="146"/>
      <c r="D57" s="146"/>
      <c r="E57" s="2"/>
      <c r="F57" s="2"/>
      <c r="G57" s="2"/>
      <c r="H57" s="2"/>
      <c r="I57" s="2"/>
      <c r="J57" s="2"/>
      <c r="K57" s="2"/>
      <c r="L57" s="2"/>
      <c r="M57" s="2"/>
      <c r="N57" s="2"/>
      <c r="O57" s="2"/>
      <c r="P57" s="2"/>
      <c r="Q57" s="2"/>
      <c r="R57" s="2"/>
      <c r="S57" s="2"/>
      <c r="T57" s="2"/>
      <c r="U57" s="2"/>
      <c r="V57" s="2"/>
      <c r="W57" s="2"/>
      <c r="X57" s="2"/>
      <c r="Y57" s="2"/>
      <c r="Z57" s="2"/>
      <c r="AA57" s="2"/>
      <c r="AB57" s="2"/>
    </row>
    <row r="58" spans="1:28">
      <c r="A58" s="2"/>
      <c r="B58" s="2"/>
      <c r="C58" s="146"/>
      <c r="D58" s="146"/>
      <c r="E58" s="2"/>
      <c r="F58" s="2"/>
      <c r="G58" s="2"/>
      <c r="H58" s="2"/>
      <c r="I58" s="2"/>
      <c r="J58" s="2"/>
      <c r="K58" s="2"/>
      <c r="L58" s="2"/>
      <c r="M58" s="2"/>
      <c r="N58" s="2"/>
      <c r="O58" s="2"/>
      <c r="P58" s="2"/>
      <c r="Q58" s="2"/>
      <c r="R58" s="2"/>
      <c r="S58" s="2"/>
      <c r="T58" s="2"/>
      <c r="U58" s="2"/>
      <c r="V58" s="2"/>
      <c r="W58" s="2"/>
      <c r="X58" s="2"/>
      <c r="Y58" s="2"/>
      <c r="Z58" s="2"/>
      <c r="AA58" s="2"/>
      <c r="AB58" s="2"/>
    </row>
    <row r="59" spans="1:28">
      <c r="A59" s="2"/>
      <c r="B59" s="2"/>
      <c r="C59" s="146"/>
      <c r="D59" s="146"/>
      <c r="E59" s="2"/>
      <c r="F59" s="2"/>
      <c r="G59" s="2"/>
      <c r="H59" s="2"/>
      <c r="I59" s="2"/>
      <c r="J59" s="2"/>
      <c r="K59" s="2"/>
      <c r="L59" s="2"/>
      <c r="M59" s="2"/>
      <c r="N59" s="2"/>
      <c r="O59" s="2"/>
      <c r="P59" s="2"/>
      <c r="Q59" s="2"/>
      <c r="R59" s="2"/>
      <c r="S59" s="2"/>
      <c r="T59" s="2"/>
      <c r="U59" s="2"/>
      <c r="V59" s="2"/>
      <c r="W59" s="2"/>
      <c r="X59" s="2"/>
      <c r="Y59" s="2"/>
      <c r="Z59" s="2"/>
      <c r="AA59" s="2"/>
      <c r="AB59" s="2"/>
    </row>
    <row r="60" spans="1:28">
      <c r="A60" s="2"/>
      <c r="B60" s="2"/>
      <c r="C60" s="146"/>
      <c r="D60" s="146"/>
      <c r="E60" s="2"/>
      <c r="F60" s="2"/>
      <c r="G60" s="2"/>
      <c r="H60" s="2"/>
      <c r="I60" s="2"/>
      <c r="J60" s="2"/>
      <c r="K60" s="2"/>
      <c r="L60" s="2"/>
      <c r="M60" s="2"/>
      <c r="N60" s="2"/>
      <c r="O60" s="2"/>
      <c r="P60" s="2"/>
      <c r="Q60" s="2"/>
      <c r="R60" s="2"/>
      <c r="S60" s="2"/>
      <c r="T60" s="2"/>
      <c r="U60" s="2"/>
      <c r="V60" s="2"/>
      <c r="W60" s="2"/>
      <c r="X60" s="2"/>
      <c r="Y60" s="2"/>
      <c r="Z60" s="2"/>
      <c r="AA60" s="2"/>
      <c r="AB60" s="2"/>
    </row>
    <row r="61" spans="1:28">
      <c r="A61" s="2"/>
      <c r="B61" s="2"/>
      <c r="C61" s="146"/>
      <c r="D61" s="146"/>
      <c r="E61" s="2"/>
      <c r="F61" s="2"/>
      <c r="G61" s="2"/>
      <c r="H61" s="2"/>
      <c r="I61" s="2"/>
      <c r="J61" s="2"/>
      <c r="K61" s="2"/>
      <c r="L61" s="2"/>
      <c r="M61" s="2"/>
      <c r="N61" s="2"/>
      <c r="O61" s="2"/>
      <c r="P61" s="2"/>
      <c r="Q61" s="2"/>
      <c r="R61" s="2"/>
      <c r="S61" s="2"/>
      <c r="T61" s="2"/>
      <c r="U61" s="2"/>
      <c r="V61" s="2"/>
      <c r="W61" s="2"/>
      <c r="X61" s="2"/>
      <c r="Y61" s="2"/>
      <c r="Z61" s="2"/>
      <c r="AA61" s="2"/>
      <c r="AB61" s="2"/>
    </row>
    <row r="62" spans="1:28">
      <c r="A62" s="2"/>
      <c r="B62" s="2"/>
      <c r="C62" s="146"/>
      <c r="D62" s="146"/>
      <c r="E62" s="2"/>
      <c r="F62" s="2"/>
      <c r="G62" s="2"/>
      <c r="H62" s="2"/>
      <c r="I62" s="2"/>
      <c r="J62" s="2"/>
      <c r="K62" s="2"/>
      <c r="L62" s="2"/>
      <c r="M62" s="2"/>
      <c r="N62" s="2"/>
      <c r="O62" s="2"/>
      <c r="P62" s="2"/>
      <c r="Q62" s="2"/>
      <c r="R62" s="2"/>
      <c r="S62" s="2"/>
      <c r="T62" s="2"/>
      <c r="U62" s="2"/>
      <c r="V62" s="2"/>
      <c r="W62" s="2"/>
      <c r="X62" s="2"/>
      <c r="Y62" s="2"/>
      <c r="Z62" s="2"/>
      <c r="AA62" s="2"/>
      <c r="AB62" s="2"/>
    </row>
    <row r="63" spans="1:28">
      <c r="A63" s="2"/>
      <c r="B63" s="2"/>
      <c r="C63" s="146"/>
      <c r="D63" s="146"/>
      <c r="E63" s="2"/>
      <c r="F63" s="2"/>
      <c r="G63" s="2"/>
      <c r="H63" s="2"/>
      <c r="I63" s="2"/>
      <c r="J63" s="2"/>
      <c r="K63" s="2"/>
      <c r="L63" s="2"/>
      <c r="M63" s="2"/>
      <c r="N63" s="2"/>
      <c r="O63" s="2"/>
      <c r="P63" s="2"/>
      <c r="Q63" s="2"/>
      <c r="R63" s="2"/>
      <c r="S63" s="2"/>
      <c r="T63" s="2"/>
      <c r="U63" s="2"/>
      <c r="V63" s="2"/>
      <c r="W63" s="2"/>
      <c r="X63" s="2"/>
      <c r="Y63" s="2"/>
      <c r="Z63" s="2"/>
      <c r="AA63" s="2"/>
      <c r="AB63" s="2"/>
    </row>
    <row r="64" spans="1:28">
      <c r="A64" s="2"/>
      <c r="B64" s="2"/>
      <c r="C64" s="146"/>
      <c r="D64" s="146"/>
      <c r="E64" s="2"/>
      <c r="F64" s="2"/>
      <c r="G64" s="2"/>
      <c r="H64" s="2"/>
      <c r="I64" s="2"/>
      <c r="J64" s="2"/>
      <c r="K64" s="2"/>
      <c r="L64" s="2"/>
      <c r="M64" s="2"/>
      <c r="N64" s="2"/>
      <c r="O64" s="2"/>
      <c r="P64" s="2"/>
      <c r="Q64" s="2"/>
      <c r="R64" s="2"/>
      <c r="S64" s="2"/>
      <c r="T64" s="2"/>
      <c r="U64" s="2"/>
      <c r="V64" s="2"/>
      <c r="W64" s="2"/>
      <c r="X64" s="2"/>
      <c r="Y64" s="2"/>
      <c r="Z64" s="2"/>
      <c r="AA64" s="2"/>
      <c r="AB64" s="2"/>
    </row>
    <row r="65" spans="1:28">
      <c r="A65" s="2"/>
      <c r="B65" s="2"/>
      <c r="C65" s="146"/>
      <c r="D65" s="146"/>
      <c r="E65" s="2"/>
      <c r="F65" s="2"/>
      <c r="G65" s="2"/>
      <c r="H65" s="2"/>
      <c r="I65" s="2"/>
      <c r="J65" s="2"/>
      <c r="K65" s="2"/>
      <c r="L65" s="2"/>
      <c r="M65" s="2"/>
      <c r="N65" s="2"/>
      <c r="O65" s="2"/>
      <c r="P65" s="2"/>
      <c r="Q65" s="2"/>
      <c r="R65" s="2"/>
      <c r="S65" s="2"/>
      <c r="T65" s="2"/>
      <c r="U65" s="2"/>
      <c r="V65" s="2"/>
      <c r="W65" s="2"/>
      <c r="X65" s="2"/>
      <c r="Y65" s="2"/>
      <c r="Z65" s="2"/>
      <c r="AA65" s="2"/>
      <c r="AB65" s="2"/>
    </row>
    <row r="66" spans="1:28">
      <c r="A66" s="2"/>
      <c r="B66" s="2"/>
      <c r="C66" s="146"/>
      <c r="D66" s="146"/>
      <c r="E66" s="2"/>
      <c r="F66" s="2"/>
      <c r="G66" s="2"/>
      <c r="H66" s="2"/>
      <c r="I66" s="2"/>
      <c r="J66" s="2"/>
      <c r="K66" s="2"/>
      <c r="L66" s="2"/>
      <c r="M66" s="2"/>
      <c r="N66" s="2"/>
      <c r="O66" s="2"/>
      <c r="P66" s="2"/>
      <c r="Q66" s="2"/>
      <c r="R66" s="2"/>
      <c r="S66" s="2"/>
      <c r="T66" s="2"/>
      <c r="U66" s="2"/>
      <c r="V66" s="2"/>
      <c r="W66" s="2"/>
      <c r="X66" s="2"/>
      <c r="Y66" s="2"/>
      <c r="Z66" s="2"/>
      <c r="AA66" s="2"/>
      <c r="AB66" s="2"/>
    </row>
    <row r="67" spans="1:28">
      <c r="A67" s="2"/>
      <c r="B67" s="2"/>
      <c r="C67" s="146"/>
      <c r="D67" s="146"/>
      <c r="E67" s="2"/>
      <c r="F67" s="2"/>
      <c r="G67" s="2"/>
      <c r="H67" s="2"/>
      <c r="I67" s="2"/>
      <c r="J67" s="2"/>
      <c r="K67" s="2"/>
      <c r="L67" s="2"/>
      <c r="M67" s="2"/>
      <c r="N67" s="2"/>
      <c r="O67" s="2"/>
      <c r="P67" s="2"/>
      <c r="Q67" s="2"/>
      <c r="R67" s="2"/>
      <c r="S67" s="2"/>
      <c r="T67" s="2"/>
      <c r="U67" s="2"/>
      <c r="V67" s="2"/>
      <c r="W67" s="2"/>
      <c r="X67" s="2"/>
      <c r="Y67" s="2"/>
      <c r="Z67" s="2"/>
      <c r="AA67" s="2"/>
      <c r="AB67" s="2"/>
    </row>
    <row r="68" spans="1:28">
      <c r="A68" s="2"/>
      <c r="B68" s="2"/>
      <c r="C68" s="146"/>
      <c r="D68" s="146"/>
      <c r="E68" s="2"/>
      <c r="F68" s="2"/>
      <c r="G68" s="2"/>
      <c r="H68" s="2"/>
      <c r="I68" s="2"/>
      <c r="J68" s="2"/>
      <c r="K68" s="2"/>
      <c r="L68" s="2"/>
      <c r="M68" s="2"/>
      <c r="N68" s="2"/>
      <c r="O68" s="2"/>
      <c r="P68" s="2"/>
      <c r="Q68" s="2"/>
      <c r="R68" s="2"/>
      <c r="S68" s="2"/>
      <c r="T68" s="2"/>
      <c r="U68" s="2"/>
      <c r="V68" s="2"/>
      <c r="W68" s="2"/>
      <c r="X68" s="2"/>
      <c r="Y68" s="2"/>
      <c r="Z68" s="2"/>
      <c r="AA68" s="2"/>
      <c r="AB68" s="2"/>
    </row>
    <row r="69" spans="1:28">
      <c r="A69" s="2"/>
      <c r="B69" s="2"/>
      <c r="C69" s="146"/>
      <c r="D69" s="146"/>
      <c r="E69" s="2"/>
      <c r="F69" s="2"/>
      <c r="G69" s="2"/>
      <c r="H69" s="2"/>
      <c r="I69" s="2"/>
      <c r="J69" s="2"/>
      <c r="K69" s="2"/>
      <c r="L69" s="2"/>
      <c r="M69" s="2"/>
      <c r="N69" s="2"/>
      <c r="O69" s="2"/>
      <c r="P69" s="2"/>
      <c r="Q69" s="2"/>
      <c r="R69" s="2"/>
      <c r="S69" s="2"/>
      <c r="T69" s="2"/>
      <c r="U69" s="2"/>
      <c r="V69" s="2"/>
      <c r="W69" s="2"/>
      <c r="X69" s="2"/>
      <c r="Y69" s="2"/>
      <c r="Z69" s="2"/>
      <c r="AA69" s="2"/>
      <c r="AB69" s="2"/>
    </row>
    <row r="70" spans="1:28">
      <c r="A70" s="2"/>
      <c r="B70" s="2"/>
      <c r="C70" s="146"/>
      <c r="D70" s="146"/>
      <c r="E70" s="2"/>
      <c r="F70" s="2"/>
      <c r="G70" s="2"/>
      <c r="H70" s="2"/>
      <c r="I70" s="2"/>
      <c r="J70" s="2"/>
      <c r="K70" s="2"/>
      <c r="L70" s="2"/>
      <c r="M70" s="2"/>
      <c r="N70" s="2"/>
      <c r="O70" s="2"/>
      <c r="P70" s="2"/>
      <c r="Q70" s="2"/>
      <c r="R70" s="2"/>
      <c r="S70" s="2"/>
      <c r="T70" s="2"/>
      <c r="U70" s="2"/>
      <c r="V70" s="2"/>
      <c r="W70" s="2"/>
      <c r="X70" s="2"/>
      <c r="Y70" s="2"/>
      <c r="Z70" s="2"/>
      <c r="AA70" s="2"/>
      <c r="AB70" s="2"/>
    </row>
    <row r="71" spans="1:28">
      <c r="A71" s="2"/>
      <c r="B71" s="2"/>
      <c r="C71" s="146"/>
      <c r="D71" s="146"/>
      <c r="E71" s="2"/>
      <c r="F71" s="2"/>
      <c r="G71" s="2"/>
      <c r="H71" s="2"/>
      <c r="I71" s="2"/>
      <c r="J71" s="2"/>
      <c r="K71" s="2"/>
      <c r="L71" s="2"/>
      <c r="M71" s="2"/>
      <c r="N71" s="2"/>
      <c r="O71" s="2"/>
      <c r="P71" s="2"/>
      <c r="Q71" s="2"/>
      <c r="R71" s="2"/>
      <c r="S71" s="2"/>
      <c r="T71" s="2"/>
      <c r="U71" s="2"/>
      <c r="V71" s="2"/>
      <c r="W71" s="2"/>
      <c r="X71" s="2"/>
      <c r="Y71" s="2"/>
      <c r="Z71" s="2"/>
      <c r="AA71" s="2"/>
      <c r="AB71" s="2"/>
    </row>
    <row r="72" spans="1:28">
      <c r="A72" s="2"/>
      <c r="B72" s="2"/>
      <c r="C72" s="146"/>
      <c r="D72" s="146"/>
      <c r="E72" s="2"/>
      <c r="F72" s="2"/>
      <c r="G72" s="2"/>
      <c r="H72" s="2"/>
      <c r="I72" s="2"/>
      <c r="J72" s="2"/>
      <c r="K72" s="2"/>
      <c r="L72" s="2"/>
      <c r="M72" s="2"/>
      <c r="N72" s="2"/>
      <c r="O72" s="2"/>
      <c r="P72" s="2"/>
      <c r="Q72" s="2"/>
      <c r="R72" s="2"/>
      <c r="S72" s="2"/>
      <c r="T72" s="2"/>
      <c r="U72" s="2"/>
      <c r="V72" s="2"/>
      <c r="W72" s="2"/>
      <c r="X72" s="2"/>
      <c r="Y72" s="2"/>
      <c r="Z72" s="2"/>
      <c r="AA72" s="2"/>
      <c r="AB72" s="2"/>
    </row>
    <row r="73" spans="1:28">
      <c r="A73" s="2"/>
      <c r="B73" s="2"/>
      <c r="C73" s="146"/>
      <c r="D73" s="146"/>
      <c r="E73" s="2"/>
      <c r="F73" s="2"/>
      <c r="G73" s="2"/>
      <c r="H73" s="2"/>
      <c r="I73" s="2"/>
      <c r="J73" s="2"/>
      <c r="K73" s="2"/>
      <c r="L73" s="2"/>
      <c r="M73" s="2"/>
      <c r="N73" s="2"/>
      <c r="O73" s="2"/>
      <c r="P73" s="2"/>
      <c r="Q73" s="2"/>
      <c r="R73" s="2"/>
      <c r="S73" s="2"/>
      <c r="T73" s="2"/>
      <c r="U73" s="2"/>
      <c r="V73" s="2"/>
      <c r="W73" s="2"/>
      <c r="X73" s="2"/>
      <c r="Y73" s="2"/>
      <c r="Z73" s="2"/>
      <c r="AA73" s="2"/>
      <c r="AB73" s="2"/>
    </row>
    <row r="74" spans="1:28">
      <c r="A74" s="2"/>
      <c r="B74" s="2"/>
      <c r="C74" s="146"/>
      <c r="D74" s="146"/>
      <c r="E74" s="2"/>
      <c r="F74" s="2"/>
      <c r="G74" s="2"/>
      <c r="H74" s="2"/>
      <c r="I74" s="2"/>
      <c r="J74" s="2"/>
      <c r="K74" s="2"/>
      <c r="L74" s="2"/>
      <c r="M74" s="2"/>
      <c r="N74" s="2"/>
      <c r="O74" s="2"/>
      <c r="P74" s="2"/>
      <c r="Q74" s="2"/>
      <c r="R74" s="2"/>
      <c r="S74" s="2"/>
      <c r="T74" s="2"/>
      <c r="U74" s="2"/>
      <c r="V74" s="2"/>
      <c r="W74" s="2"/>
      <c r="X74" s="2"/>
      <c r="Y74" s="2"/>
      <c r="Z74" s="2"/>
      <c r="AA74" s="2"/>
      <c r="AB74" s="2"/>
    </row>
    <row r="75" spans="1:28">
      <c r="A75" s="2"/>
      <c r="B75" s="2"/>
      <c r="C75" s="146"/>
      <c r="D75" s="146"/>
      <c r="E75" s="2"/>
      <c r="F75" s="2"/>
      <c r="G75" s="2"/>
      <c r="H75" s="2"/>
      <c r="I75" s="2"/>
      <c r="J75" s="2"/>
      <c r="K75" s="2"/>
      <c r="L75" s="2"/>
      <c r="M75" s="2"/>
      <c r="N75" s="2"/>
      <c r="O75" s="2"/>
      <c r="P75" s="2"/>
      <c r="Q75" s="2"/>
      <c r="R75" s="2"/>
      <c r="S75" s="2"/>
      <c r="T75" s="2"/>
      <c r="U75" s="2"/>
      <c r="V75" s="2"/>
      <c r="W75" s="2"/>
      <c r="X75" s="2"/>
      <c r="Y75" s="2"/>
      <c r="Z75" s="2"/>
      <c r="AA75" s="2"/>
      <c r="AB75" s="2"/>
    </row>
    <row r="76" spans="1:28">
      <c r="A76" s="2"/>
      <c r="B76" s="2"/>
      <c r="C76" s="146"/>
      <c r="D76" s="146"/>
      <c r="E76" s="2"/>
      <c r="F76" s="2"/>
      <c r="G76" s="2"/>
      <c r="H76" s="2"/>
      <c r="I76" s="2"/>
      <c r="J76" s="2"/>
      <c r="K76" s="2"/>
      <c r="L76" s="2"/>
      <c r="M76" s="2"/>
      <c r="N76" s="2"/>
      <c r="O76" s="2"/>
      <c r="P76" s="2"/>
      <c r="Q76" s="2"/>
      <c r="R76" s="2"/>
      <c r="S76" s="2"/>
      <c r="T76" s="2"/>
      <c r="U76" s="2"/>
      <c r="V76" s="2"/>
      <c r="W76" s="2"/>
      <c r="X76" s="2"/>
      <c r="Y76" s="2"/>
      <c r="Z76" s="2"/>
      <c r="AA76" s="2"/>
      <c r="AB76" s="2"/>
    </row>
    <row r="77" spans="1:28">
      <c r="A77" s="2"/>
      <c r="B77" s="2"/>
      <c r="C77" s="146"/>
      <c r="D77" s="146"/>
      <c r="E77" s="2"/>
      <c r="F77" s="2"/>
      <c r="G77" s="2"/>
      <c r="H77" s="2"/>
      <c r="I77" s="2"/>
      <c r="J77" s="2"/>
      <c r="K77" s="2"/>
      <c r="L77" s="2"/>
      <c r="M77" s="2"/>
      <c r="N77" s="2"/>
      <c r="O77" s="2"/>
      <c r="P77" s="2"/>
      <c r="Q77" s="2"/>
      <c r="R77" s="2"/>
      <c r="S77" s="2"/>
      <c r="T77" s="2"/>
      <c r="U77" s="2"/>
      <c r="V77" s="2"/>
      <c r="W77" s="2"/>
      <c r="X77" s="2"/>
      <c r="Y77" s="2"/>
      <c r="Z77" s="2"/>
      <c r="AA77" s="2"/>
      <c r="AB77" s="2"/>
    </row>
    <row r="78" spans="1:28">
      <c r="A78" s="2"/>
      <c r="B78" s="2"/>
      <c r="C78" s="146"/>
      <c r="D78" s="146"/>
      <c r="E78" s="2"/>
      <c r="F78" s="2"/>
      <c r="G78" s="2"/>
      <c r="H78" s="2"/>
      <c r="I78" s="2"/>
      <c r="J78" s="2"/>
      <c r="K78" s="2"/>
      <c r="L78" s="2"/>
      <c r="M78" s="2"/>
      <c r="N78" s="2"/>
      <c r="O78" s="2"/>
      <c r="P78" s="2"/>
      <c r="Q78" s="2"/>
      <c r="R78" s="2"/>
      <c r="S78" s="2"/>
      <c r="T78" s="2"/>
      <c r="U78" s="2"/>
      <c r="V78" s="2"/>
      <c r="W78" s="2"/>
      <c r="X78" s="2"/>
      <c r="Y78" s="2"/>
      <c r="Z78" s="2"/>
      <c r="AA78" s="2"/>
      <c r="AB78" s="2"/>
    </row>
    <row r="79" spans="1:28">
      <c r="A79" s="2"/>
      <c r="B79" s="2"/>
      <c r="C79" s="146"/>
      <c r="D79" s="146"/>
      <c r="E79" s="2"/>
      <c r="F79" s="2"/>
      <c r="G79" s="2"/>
      <c r="H79" s="2"/>
      <c r="I79" s="2"/>
      <c r="J79" s="2"/>
      <c r="K79" s="2"/>
      <c r="L79" s="2"/>
      <c r="M79" s="2"/>
      <c r="N79" s="2"/>
      <c r="O79" s="2"/>
      <c r="P79" s="2"/>
      <c r="Q79" s="2"/>
      <c r="R79" s="2"/>
      <c r="S79" s="2"/>
      <c r="T79" s="2"/>
      <c r="U79" s="2"/>
      <c r="V79" s="2"/>
      <c r="W79" s="2"/>
      <c r="X79" s="2"/>
      <c r="Y79" s="2"/>
      <c r="Z79" s="2"/>
      <c r="AA79" s="2"/>
      <c r="AB79" s="2"/>
    </row>
    <row r="80" spans="1:28">
      <c r="A80" s="2"/>
      <c r="B80" s="2"/>
      <c r="C80" s="146"/>
      <c r="D80" s="146"/>
      <c r="E80" s="2"/>
      <c r="F80" s="2"/>
      <c r="G80" s="2"/>
      <c r="H80" s="2"/>
      <c r="I80" s="2"/>
      <c r="J80" s="2"/>
      <c r="K80" s="2"/>
      <c r="L80" s="2"/>
      <c r="M80" s="2"/>
      <c r="N80" s="2"/>
      <c r="O80" s="2"/>
      <c r="P80" s="2"/>
      <c r="Q80" s="2"/>
      <c r="R80" s="2"/>
      <c r="S80" s="2"/>
      <c r="T80" s="2"/>
      <c r="U80" s="2"/>
      <c r="V80" s="2"/>
      <c r="W80" s="2"/>
      <c r="X80" s="2"/>
      <c r="Y80" s="2"/>
      <c r="Z80" s="2"/>
      <c r="AA80" s="2"/>
      <c r="AB80" s="2"/>
    </row>
    <row r="81" spans="1:28">
      <c r="A81" s="2"/>
      <c r="B81" s="2"/>
      <c r="C81" s="146"/>
      <c r="D81" s="146"/>
      <c r="E81" s="2"/>
      <c r="F81" s="2"/>
      <c r="G81" s="2"/>
      <c r="H81" s="2"/>
      <c r="I81" s="2"/>
      <c r="J81" s="2"/>
      <c r="K81" s="2"/>
      <c r="L81" s="2"/>
      <c r="M81" s="2"/>
      <c r="N81" s="2"/>
      <c r="O81" s="2"/>
      <c r="P81" s="2"/>
      <c r="Q81" s="2"/>
      <c r="R81" s="2"/>
      <c r="S81" s="2"/>
      <c r="T81" s="2"/>
      <c r="U81" s="2"/>
      <c r="V81" s="2"/>
      <c r="W81" s="2"/>
      <c r="X81" s="2"/>
      <c r="Y81" s="2"/>
      <c r="Z81" s="2"/>
      <c r="AA81" s="2"/>
      <c r="AB81" s="2"/>
    </row>
    <row r="82" spans="1:28">
      <c r="A82" s="2"/>
      <c r="B82" s="2"/>
      <c r="C82" s="146"/>
      <c r="D82" s="146"/>
      <c r="E82" s="2"/>
      <c r="F82" s="2"/>
      <c r="G82" s="2"/>
      <c r="H82" s="2"/>
      <c r="I82" s="2"/>
      <c r="J82" s="2"/>
      <c r="K82" s="2"/>
      <c r="L82" s="2"/>
      <c r="M82" s="2"/>
      <c r="N82" s="2"/>
      <c r="O82" s="2"/>
      <c r="P82" s="2"/>
      <c r="Q82" s="2"/>
      <c r="R82" s="2"/>
      <c r="S82" s="2"/>
      <c r="T82" s="2"/>
      <c r="U82" s="2"/>
      <c r="V82" s="2"/>
      <c r="W82" s="2"/>
      <c r="X82" s="2"/>
      <c r="Y82" s="2"/>
      <c r="Z82" s="2"/>
      <c r="AA82" s="2"/>
      <c r="AB82" s="2"/>
    </row>
    <row r="83" spans="1:28">
      <c r="A83" s="2"/>
      <c r="B83" s="2"/>
      <c r="C83" s="146"/>
      <c r="D83" s="146"/>
      <c r="E83" s="2"/>
      <c r="F83" s="2"/>
      <c r="G83" s="2"/>
      <c r="H83" s="2"/>
      <c r="I83" s="2"/>
      <c r="J83" s="2"/>
      <c r="K83" s="2"/>
      <c r="L83" s="2"/>
      <c r="M83" s="2"/>
      <c r="N83" s="2"/>
      <c r="O83" s="2"/>
      <c r="P83" s="2"/>
      <c r="Q83" s="2"/>
      <c r="R83" s="2"/>
      <c r="S83" s="2"/>
      <c r="T83" s="2"/>
      <c r="U83" s="2"/>
      <c r="V83" s="2"/>
      <c r="W83" s="2"/>
      <c r="X83" s="2"/>
      <c r="Y83" s="2"/>
      <c r="Z83" s="2"/>
      <c r="AA83" s="2"/>
      <c r="AB83" s="2"/>
    </row>
    <row r="84" spans="1:28">
      <c r="A84" s="2"/>
      <c r="B84" s="2"/>
      <c r="C84" s="146"/>
      <c r="D84" s="146"/>
      <c r="E84" s="2"/>
      <c r="F84" s="2"/>
      <c r="G84" s="2"/>
      <c r="H84" s="2"/>
      <c r="I84" s="2"/>
      <c r="J84" s="2"/>
      <c r="K84" s="2"/>
      <c r="L84" s="2"/>
      <c r="M84" s="2"/>
      <c r="N84" s="2"/>
      <c r="O84" s="2"/>
      <c r="P84" s="2"/>
      <c r="Q84" s="2"/>
      <c r="R84" s="2"/>
      <c r="S84" s="2"/>
      <c r="T84" s="2"/>
      <c r="U84" s="2"/>
      <c r="V84" s="2"/>
      <c r="W84" s="2"/>
      <c r="X84" s="2"/>
      <c r="Y84" s="2"/>
      <c r="Z84" s="2"/>
      <c r="AA84" s="2"/>
      <c r="AB84" s="2"/>
    </row>
    <row r="85" spans="1:28">
      <c r="A85" s="2"/>
      <c r="B85" s="2"/>
      <c r="C85" s="146"/>
      <c r="D85" s="146"/>
      <c r="E85" s="2"/>
      <c r="F85" s="2"/>
      <c r="G85" s="2"/>
      <c r="H85" s="2"/>
      <c r="I85" s="2"/>
      <c r="J85" s="2"/>
      <c r="K85" s="2"/>
      <c r="L85" s="2"/>
      <c r="M85" s="2"/>
      <c r="N85" s="2"/>
      <c r="O85" s="2"/>
      <c r="P85" s="2"/>
      <c r="Q85" s="2"/>
      <c r="R85" s="2"/>
      <c r="S85" s="2"/>
      <c r="T85" s="2"/>
      <c r="U85" s="2"/>
      <c r="V85" s="2"/>
      <c r="W85" s="2"/>
      <c r="X85" s="2"/>
      <c r="Y85" s="2"/>
      <c r="Z85" s="2"/>
      <c r="AA85" s="2"/>
      <c r="AB85" s="2"/>
    </row>
    <row r="86" spans="1:28">
      <c r="A86" s="2"/>
      <c r="B86" s="2"/>
      <c r="C86" s="146"/>
      <c r="D86" s="146"/>
      <c r="E86" s="2"/>
      <c r="F86" s="2"/>
      <c r="G86" s="2"/>
      <c r="H86" s="2"/>
      <c r="I86" s="2"/>
      <c r="J86" s="2"/>
      <c r="K86" s="2"/>
      <c r="L86" s="2"/>
      <c r="M86" s="2"/>
      <c r="N86" s="2"/>
      <c r="O86" s="2"/>
      <c r="P86" s="2"/>
      <c r="Q86" s="2"/>
      <c r="R86" s="2"/>
      <c r="S86" s="2"/>
      <c r="T86" s="2"/>
      <c r="U86" s="2"/>
      <c r="V86" s="2"/>
      <c r="W86" s="2"/>
      <c r="X86" s="2"/>
      <c r="Y86" s="2"/>
      <c r="Z86" s="2"/>
      <c r="AA86" s="2"/>
      <c r="AB86" s="2"/>
    </row>
    <row r="87" spans="1:28">
      <c r="A87" s="2"/>
      <c r="B87" s="2"/>
      <c r="C87" s="146"/>
      <c r="D87" s="146"/>
      <c r="E87" s="2"/>
      <c r="F87" s="2"/>
      <c r="G87" s="2"/>
      <c r="H87" s="2"/>
      <c r="I87" s="2"/>
      <c r="J87" s="2"/>
      <c r="K87" s="2"/>
      <c r="L87" s="2"/>
      <c r="M87" s="2"/>
      <c r="N87" s="2"/>
      <c r="O87" s="2"/>
      <c r="P87" s="2"/>
      <c r="Q87" s="2"/>
      <c r="R87" s="2"/>
      <c r="S87" s="2"/>
      <c r="T87" s="2"/>
      <c r="U87" s="2"/>
      <c r="V87" s="2"/>
      <c r="W87" s="2"/>
      <c r="X87" s="2"/>
      <c r="Y87" s="2"/>
      <c r="Z87" s="2"/>
      <c r="AA87" s="2"/>
      <c r="AB87" s="2"/>
    </row>
    <row r="88" spans="1:28">
      <c r="A88" s="2"/>
      <c r="B88" s="2"/>
      <c r="C88" s="146"/>
      <c r="D88" s="146"/>
      <c r="E88" s="2"/>
      <c r="F88" s="2"/>
      <c r="G88" s="2"/>
      <c r="H88" s="2"/>
      <c r="I88" s="2"/>
      <c r="J88" s="2"/>
      <c r="K88" s="2"/>
      <c r="L88" s="2"/>
      <c r="M88" s="2"/>
      <c r="N88" s="2"/>
      <c r="O88" s="2"/>
      <c r="P88" s="2"/>
      <c r="Q88" s="2"/>
      <c r="R88" s="2"/>
      <c r="S88" s="2"/>
      <c r="T88" s="2"/>
      <c r="U88" s="2"/>
      <c r="V88" s="2"/>
      <c r="W88" s="2"/>
      <c r="X88" s="2"/>
      <c r="Y88" s="2"/>
      <c r="Z88" s="2"/>
      <c r="AA88" s="2"/>
      <c r="AB88" s="2"/>
    </row>
    <row r="89" spans="1:28">
      <c r="A89" s="2"/>
      <c r="B89" s="2"/>
      <c r="C89" s="146"/>
      <c r="D89" s="146"/>
      <c r="E89" s="2"/>
      <c r="F89" s="2"/>
      <c r="G89" s="2"/>
      <c r="H89" s="2"/>
      <c r="I89" s="2"/>
      <c r="J89" s="2"/>
      <c r="K89" s="2"/>
      <c r="L89" s="2"/>
      <c r="M89" s="2"/>
      <c r="N89" s="2"/>
      <c r="O89" s="2"/>
      <c r="P89" s="2"/>
      <c r="Q89" s="2"/>
      <c r="R89" s="2"/>
      <c r="S89" s="2"/>
      <c r="T89" s="2"/>
      <c r="U89" s="2"/>
      <c r="V89" s="2"/>
      <c r="W89" s="2"/>
      <c r="X89" s="2"/>
      <c r="Y89" s="2"/>
      <c r="Z89" s="2"/>
      <c r="AA89" s="2"/>
      <c r="AB89" s="2"/>
    </row>
    <row r="90" spans="1:28">
      <c r="A90" s="2"/>
      <c r="B90" s="2"/>
      <c r="C90" s="146"/>
      <c r="D90" s="146"/>
      <c r="E90" s="2"/>
      <c r="F90" s="2"/>
      <c r="G90" s="2"/>
      <c r="H90" s="2"/>
      <c r="I90" s="2"/>
      <c r="J90" s="2"/>
      <c r="K90" s="2"/>
      <c r="L90" s="2"/>
      <c r="M90" s="2"/>
      <c r="N90" s="2"/>
      <c r="O90" s="2"/>
      <c r="P90" s="2"/>
      <c r="Q90" s="2"/>
      <c r="R90" s="2"/>
      <c r="S90" s="2"/>
      <c r="T90" s="2"/>
      <c r="U90" s="2"/>
      <c r="V90" s="2"/>
      <c r="W90" s="2"/>
      <c r="X90" s="2"/>
      <c r="Y90" s="2"/>
      <c r="Z90" s="2"/>
      <c r="AA90" s="2"/>
      <c r="AB90" s="2"/>
    </row>
    <row r="91" spans="1:28">
      <c r="A91" s="2"/>
      <c r="B91" s="2"/>
      <c r="C91" s="146"/>
      <c r="D91" s="146"/>
      <c r="E91" s="2"/>
      <c r="F91" s="2"/>
      <c r="G91" s="2"/>
      <c r="H91" s="2"/>
      <c r="I91" s="2"/>
      <c r="J91" s="2"/>
      <c r="K91" s="2"/>
      <c r="L91" s="2"/>
      <c r="M91" s="2"/>
      <c r="N91" s="2"/>
      <c r="O91" s="2"/>
      <c r="P91" s="2"/>
      <c r="Q91" s="2"/>
      <c r="R91" s="2"/>
      <c r="S91" s="2"/>
      <c r="T91" s="2"/>
      <c r="U91" s="2"/>
      <c r="V91" s="2"/>
      <c r="W91" s="2"/>
      <c r="X91" s="2"/>
      <c r="Y91" s="2"/>
      <c r="Z91" s="2"/>
      <c r="AA91" s="2"/>
      <c r="AB91" s="2"/>
    </row>
    <row r="92" spans="1:28">
      <c r="A92" s="2"/>
      <c r="B92" s="2"/>
      <c r="C92" s="146"/>
      <c r="D92" s="146"/>
      <c r="E92" s="2"/>
      <c r="F92" s="2"/>
      <c r="G92" s="2"/>
      <c r="H92" s="2"/>
      <c r="I92" s="2"/>
      <c r="J92" s="2"/>
      <c r="K92" s="2"/>
      <c r="L92" s="2"/>
      <c r="M92" s="2"/>
      <c r="N92" s="2"/>
      <c r="O92" s="2"/>
      <c r="P92" s="2"/>
      <c r="Q92" s="2"/>
      <c r="R92" s="2"/>
      <c r="S92" s="2"/>
      <c r="T92" s="2"/>
      <c r="U92" s="2"/>
      <c r="V92" s="2"/>
      <c r="W92" s="2"/>
      <c r="X92" s="2"/>
      <c r="Y92" s="2"/>
      <c r="Z92" s="2"/>
      <c r="AA92" s="2"/>
      <c r="AB92" s="2"/>
    </row>
    <row r="93" spans="1:28">
      <c r="A93" s="2"/>
      <c r="B93" s="2"/>
      <c r="C93" s="146"/>
      <c r="D93" s="146"/>
      <c r="E93" s="2"/>
      <c r="F93" s="2"/>
      <c r="G93" s="2"/>
      <c r="H93" s="2"/>
      <c r="I93" s="2"/>
      <c r="J93" s="2"/>
      <c r="K93" s="2"/>
      <c r="L93" s="2"/>
      <c r="M93" s="2"/>
      <c r="N93" s="2"/>
      <c r="O93" s="2"/>
      <c r="P93" s="2"/>
      <c r="Q93" s="2"/>
      <c r="R93" s="2"/>
      <c r="S93" s="2"/>
      <c r="T93" s="2"/>
      <c r="U93" s="2"/>
      <c r="V93" s="2"/>
      <c r="W93" s="2"/>
      <c r="X93" s="2"/>
      <c r="Y93" s="2"/>
      <c r="Z93" s="2"/>
      <c r="AA93" s="2"/>
      <c r="AB93" s="2"/>
    </row>
    <row r="94" spans="1:28">
      <c r="A94" s="2"/>
      <c r="B94" s="2"/>
      <c r="C94" s="146"/>
      <c r="D94" s="146"/>
      <c r="E94" s="2"/>
      <c r="F94" s="2"/>
      <c r="G94" s="2"/>
      <c r="H94" s="2"/>
      <c r="I94" s="2"/>
      <c r="J94" s="2"/>
      <c r="K94" s="2"/>
      <c r="L94" s="2"/>
      <c r="M94" s="2"/>
      <c r="N94" s="2"/>
      <c r="O94" s="2"/>
      <c r="P94" s="2"/>
      <c r="Q94" s="2"/>
      <c r="R94" s="2"/>
      <c r="S94" s="2"/>
      <c r="T94" s="2"/>
      <c r="U94" s="2"/>
      <c r="V94" s="2"/>
      <c r="W94" s="2"/>
      <c r="X94" s="2"/>
      <c r="Y94" s="2"/>
      <c r="Z94" s="2"/>
      <c r="AA94" s="2"/>
      <c r="AB94" s="2"/>
    </row>
    <row r="95" spans="1:28">
      <c r="A95" s="2"/>
      <c r="B95" s="2"/>
      <c r="C95" s="146"/>
      <c r="D95" s="146"/>
      <c r="E95" s="2"/>
      <c r="F95" s="2"/>
      <c r="G95" s="2"/>
      <c r="H95" s="2"/>
      <c r="I95" s="2"/>
      <c r="J95" s="2"/>
      <c r="K95" s="2"/>
      <c r="L95" s="2"/>
      <c r="M95" s="2"/>
      <c r="N95" s="2"/>
      <c r="O95" s="2"/>
      <c r="P95" s="2"/>
      <c r="Q95" s="2"/>
      <c r="R95" s="2"/>
      <c r="S95" s="2"/>
      <c r="T95" s="2"/>
      <c r="U95" s="2"/>
      <c r="V95" s="2"/>
      <c r="W95" s="2"/>
      <c r="X95" s="2"/>
      <c r="Y95" s="2"/>
      <c r="Z95" s="2"/>
      <c r="AA95" s="2"/>
      <c r="AB95" s="2"/>
    </row>
    <row r="96" spans="1:28">
      <c r="A96" s="2"/>
      <c r="B96" s="2"/>
      <c r="C96" s="146"/>
      <c r="D96" s="146"/>
      <c r="E96" s="2"/>
      <c r="F96" s="2"/>
      <c r="G96" s="2"/>
      <c r="H96" s="2"/>
      <c r="I96" s="2"/>
      <c r="J96" s="2"/>
      <c r="K96" s="2"/>
      <c r="L96" s="2"/>
      <c r="M96" s="2"/>
      <c r="N96" s="2"/>
      <c r="O96" s="2"/>
      <c r="P96" s="2"/>
      <c r="Q96" s="2"/>
      <c r="R96" s="2"/>
      <c r="S96" s="2"/>
      <c r="T96" s="2"/>
      <c r="U96" s="2"/>
      <c r="V96" s="2"/>
      <c r="W96" s="2"/>
      <c r="X96" s="2"/>
      <c r="Y96" s="2"/>
      <c r="Z96" s="2"/>
      <c r="AA96" s="2"/>
      <c r="AB96" s="2"/>
    </row>
    <row r="97" spans="1:28">
      <c r="A97" s="2"/>
      <c r="B97" s="2"/>
      <c r="C97" s="146"/>
      <c r="D97" s="146"/>
      <c r="E97" s="2"/>
      <c r="F97" s="2"/>
      <c r="G97" s="2"/>
      <c r="H97" s="2"/>
      <c r="I97" s="2"/>
      <c r="J97" s="2"/>
      <c r="K97" s="2"/>
      <c r="L97" s="2"/>
      <c r="M97" s="2"/>
      <c r="N97" s="2"/>
      <c r="O97" s="2"/>
      <c r="P97" s="2"/>
      <c r="Q97" s="2"/>
      <c r="R97" s="2"/>
      <c r="S97" s="2"/>
      <c r="T97" s="2"/>
      <c r="U97" s="2"/>
      <c r="V97" s="2"/>
      <c r="W97" s="2"/>
      <c r="X97" s="2"/>
      <c r="Y97" s="2"/>
      <c r="Z97" s="2"/>
      <c r="AA97" s="2"/>
      <c r="AB97" s="2"/>
    </row>
    <row r="98" spans="1:28">
      <c r="A98" s="2"/>
      <c r="B98" s="2"/>
      <c r="C98" s="146"/>
      <c r="D98" s="146"/>
      <c r="E98" s="2"/>
      <c r="F98" s="2"/>
      <c r="G98" s="2"/>
      <c r="H98" s="2"/>
      <c r="I98" s="2"/>
      <c r="J98" s="2"/>
      <c r="K98" s="2"/>
      <c r="L98" s="2"/>
      <c r="M98" s="2"/>
      <c r="N98" s="2"/>
      <c r="O98" s="2"/>
      <c r="P98" s="2"/>
      <c r="Q98" s="2"/>
      <c r="R98" s="2"/>
      <c r="S98" s="2"/>
      <c r="T98" s="2"/>
      <c r="U98" s="2"/>
      <c r="V98" s="2"/>
      <c r="W98" s="2"/>
      <c r="X98" s="2"/>
      <c r="Y98" s="2"/>
      <c r="Z98" s="2"/>
      <c r="AA98" s="2"/>
      <c r="AB98" s="2"/>
    </row>
    <row r="99" spans="1:28">
      <c r="A99" s="2"/>
      <c r="B99" s="2"/>
      <c r="C99" s="146"/>
      <c r="D99" s="146"/>
      <c r="E99" s="2"/>
      <c r="F99" s="2"/>
      <c r="G99" s="2"/>
      <c r="H99" s="2"/>
      <c r="I99" s="2"/>
      <c r="J99" s="2"/>
      <c r="K99" s="2"/>
      <c r="L99" s="2"/>
      <c r="M99" s="2"/>
      <c r="N99" s="2"/>
      <c r="O99" s="2"/>
      <c r="P99" s="2"/>
      <c r="Q99" s="2"/>
      <c r="R99" s="2"/>
      <c r="S99" s="2"/>
      <c r="T99" s="2"/>
      <c r="U99" s="2"/>
      <c r="V99" s="2"/>
      <c r="W99" s="2"/>
      <c r="X99" s="2"/>
      <c r="Y99" s="2"/>
      <c r="Z99" s="2"/>
      <c r="AA99" s="2"/>
      <c r="AB99" s="2"/>
    </row>
  </sheetData>
  <mergeCells count="2">
    <mergeCell ref="A1:N1"/>
    <mergeCell ref="B5:F5"/>
  </mergeCells>
  <conditionalFormatting sqref="A8:C17">
    <cfRule type="expression" dxfId="10" priority="9">
      <formula>$B8&lt;3</formula>
    </cfRule>
    <cfRule type="expression" dxfId="9" priority="10">
      <formula>AND($B8&gt;=3,$B8&lt;4)</formula>
    </cfRule>
    <cfRule type="expression" dxfId="8" priority="11">
      <formula>$B8&gt;=4</formula>
    </cfRule>
  </conditionalFormatting>
  <conditionalFormatting sqref="F3">
    <cfRule type="containsText" dxfId="7" priority="4" operator="containsText" text="Optimised">
      <formula>NOT(ISERROR(SEARCH("Optimised",F3)))</formula>
    </cfRule>
    <cfRule type="containsText" dxfId="6" priority="5" operator="containsText" text="Established">
      <formula>NOT(ISERROR(SEARCH("Established",F3)))</formula>
    </cfRule>
    <cfRule type="containsText" dxfId="5" priority="6" operator="containsText" text="Developing">
      <formula>NOT(ISERROR(SEARCH("Developing",F3)))</formula>
    </cfRule>
    <cfRule type="containsText" dxfId="4" priority="7" operator="containsText" text="Emerging">
      <formula>NOT(ISERROR(SEARCH("Emerging",F3)))</formula>
    </cfRule>
    <cfRule type="containsText" dxfId="3" priority="8" operator="containsText" text="Initial">
      <formula>NOT(ISERROR(SEARCH("Initial",F3)))</formula>
    </cfRule>
  </conditionalFormatting>
  <conditionalFormatting sqref="B4">
    <cfRule type="containsText" dxfId="2" priority="1" operator="containsText" text="Low Risk">
      <formula>NOT(ISERROR(SEARCH("Low Risk",B4)))</formula>
    </cfRule>
    <cfRule type="containsText" dxfId="1" priority="2" operator="containsText" text="Moderate Risk">
      <formula>NOT(ISERROR(SEARCH("Moderate Risk",B4)))</formula>
    </cfRule>
    <cfRule type="containsText" dxfId="0" priority="3" operator="containsText" text="Critical Risk">
      <formula>NOT(ISERROR(SEARCH("Critical Risk",B4)))</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2"/>
  <sheetViews>
    <sheetView showGridLines="0" topLeftCell="C41" workbookViewId="0">
      <selection activeCell="D54" sqref="D54"/>
    </sheetView>
  </sheetViews>
  <sheetFormatPr defaultColWidth="0" defaultRowHeight="14" zeroHeight="1"/>
  <cols>
    <col min="1" max="1" width="1.83203125" customWidth="1"/>
    <col min="2" max="2" width="11.75" style="1" customWidth="1"/>
    <col min="3" max="3" width="19" customWidth="1"/>
    <col min="4" max="4" width="25.25" customWidth="1"/>
    <col min="5" max="5" width="43.08203125" customWidth="1"/>
    <col min="6" max="6" width="36.58203125" customWidth="1"/>
    <col min="7" max="7" width="1.83203125" customWidth="1"/>
    <col min="8" max="27" width="0" hidden="1" customWidth="1"/>
    <col min="28" max="16384" width="8.6640625" hidden="1"/>
  </cols>
  <sheetData>
    <row r="1" spans="1:27" ht="20">
      <c r="A1" s="122" t="s">
        <v>18</v>
      </c>
      <c r="B1" s="123"/>
      <c r="C1" s="124"/>
      <c r="D1" s="124"/>
      <c r="E1" s="124"/>
      <c r="F1" s="124"/>
      <c r="G1" s="124"/>
      <c r="H1" s="2"/>
      <c r="I1" s="2"/>
      <c r="J1" s="2"/>
      <c r="K1" s="2"/>
      <c r="L1" s="2"/>
      <c r="M1" s="2"/>
      <c r="N1" s="2"/>
      <c r="O1" s="2"/>
      <c r="P1" s="2"/>
      <c r="Q1" s="2"/>
      <c r="R1" s="2"/>
      <c r="S1" s="2"/>
      <c r="T1" s="2"/>
      <c r="U1" s="2"/>
      <c r="V1" s="2"/>
      <c r="W1" s="2"/>
      <c r="X1" s="2"/>
      <c r="Y1" s="2"/>
      <c r="Z1" s="2"/>
      <c r="AA1" s="2"/>
    </row>
    <row r="2" spans="1:27">
      <c r="A2" s="2"/>
      <c r="B2" s="10"/>
      <c r="C2" s="2"/>
      <c r="D2" s="2"/>
      <c r="E2" s="2"/>
      <c r="F2" s="2"/>
      <c r="G2" s="2"/>
      <c r="H2" s="2"/>
      <c r="I2" s="2"/>
      <c r="J2" s="2"/>
      <c r="K2" s="2"/>
      <c r="L2" s="2"/>
      <c r="M2" s="2"/>
      <c r="N2" s="2"/>
      <c r="O2" s="2"/>
      <c r="P2" s="2"/>
      <c r="Q2" s="2"/>
      <c r="R2" s="2"/>
      <c r="S2" s="2"/>
      <c r="T2" s="2"/>
      <c r="U2" s="2"/>
      <c r="V2" s="2"/>
      <c r="W2" s="2"/>
      <c r="X2" s="2"/>
      <c r="Y2" s="2"/>
      <c r="Z2" s="2"/>
      <c r="AA2" s="2"/>
    </row>
    <row r="3" spans="1:27" s="1" customFormat="1">
      <c r="A3" s="10"/>
      <c r="B3" s="10"/>
      <c r="C3" s="10"/>
      <c r="D3" s="10"/>
      <c r="E3" s="10"/>
      <c r="F3" s="10"/>
      <c r="G3" s="10"/>
      <c r="H3" s="10"/>
      <c r="I3" s="10"/>
      <c r="J3" s="10"/>
      <c r="K3" s="10"/>
      <c r="L3" s="10"/>
      <c r="M3" s="10"/>
      <c r="N3" s="10"/>
      <c r="O3" s="10"/>
      <c r="P3" s="10"/>
      <c r="Q3" s="10"/>
      <c r="R3" s="10"/>
      <c r="S3" s="10"/>
      <c r="T3" s="10"/>
      <c r="U3" s="10"/>
      <c r="V3" s="10"/>
      <c r="W3" s="10"/>
      <c r="X3" s="10"/>
      <c r="Y3" s="10"/>
      <c r="Z3" s="10"/>
      <c r="AA3" s="10"/>
    </row>
    <row r="4" spans="1:27" s="1" customFormat="1">
      <c r="A4" s="10"/>
      <c r="B4" s="10"/>
      <c r="C4" s="94" t="s">
        <v>342</v>
      </c>
      <c r="D4" s="94" t="s">
        <v>343</v>
      </c>
      <c r="E4" s="10"/>
      <c r="F4" s="10"/>
      <c r="G4" s="10"/>
      <c r="H4" s="10"/>
      <c r="I4" s="10"/>
      <c r="J4" s="10"/>
      <c r="K4" s="10"/>
      <c r="L4" s="10"/>
      <c r="M4" s="10"/>
      <c r="N4" s="10"/>
      <c r="O4" s="10"/>
      <c r="P4" s="10"/>
      <c r="Q4" s="10"/>
      <c r="R4" s="10"/>
      <c r="S4" s="10"/>
      <c r="T4" s="10"/>
      <c r="U4" s="10"/>
      <c r="V4" s="10"/>
      <c r="W4" s="10"/>
      <c r="X4" s="10"/>
      <c r="Y4" s="10"/>
      <c r="Z4" s="10"/>
      <c r="AA4" s="10"/>
    </row>
    <row r="5" spans="1:27" s="1" customFormat="1" ht="28">
      <c r="A5" s="10"/>
      <c r="B5" s="10"/>
      <c r="C5" s="98" t="s">
        <v>199</v>
      </c>
      <c r="D5" s="99">
        <f>'Scoring Engine'!B14</f>
        <v>1.5</v>
      </c>
      <c r="E5" s="10"/>
      <c r="F5" s="101"/>
      <c r="G5" s="10"/>
      <c r="H5" s="10"/>
      <c r="I5" s="10"/>
      <c r="J5" s="10"/>
      <c r="K5" s="10"/>
      <c r="L5" s="10"/>
      <c r="M5" s="10"/>
      <c r="N5" s="10"/>
      <c r="O5" s="10"/>
      <c r="P5" s="10"/>
      <c r="Q5" s="10"/>
      <c r="R5" s="10"/>
      <c r="S5" s="10"/>
      <c r="T5" s="10"/>
      <c r="U5" s="10"/>
      <c r="V5" s="10"/>
      <c r="W5" s="10"/>
      <c r="X5" s="10"/>
      <c r="Y5" s="10"/>
      <c r="Z5" s="10"/>
      <c r="AA5" s="10"/>
    </row>
    <row r="6" spans="1:27" s="1" customFormat="1">
      <c r="A6" s="10"/>
      <c r="B6" s="10"/>
      <c r="C6" s="98" t="s">
        <v>200</v>
      </c>
      <c r="D6" s="100" t="str">
        <f>'Scoring Engine'!B15</f>
        <v>Initial</v>
      </c>
      <c r="E6" s="10"/>
      <c r="F6" s="10"/>
      <c r="G6" s="10"/>
      <c r="H6" s="10"/>
      <c r="I6" s="10"/>
      <c r="J6" s="10"/>
      <c r="K6" s="10"/>
      <c r="L6" s="10"/>
      <c r="M6" s="10"/>
      <c r="N6" s="10"/>
      <c r="O6" s="10"/>
      <c r="P6" s="10"/>
      <c r="Q6" s="10"/>
      <c r="R6" s="10"/>
      <c r="S6" s="10"/>
      <c r="T6" s="10"/>
      <c r="U6" s="10"/>
      <c r="V6" s="10"/>
      <c r="W6" s="10"/>
      <c r="X6" s="10"/>
      <c r="Y6" s="10"/>
      <c r="Z6" s="10"/>
      <c r="AA6" s="10"/>
    </row>
    <row r="7" spans="1:27" s="1" customFormat="1">
      <c r="A7" s="10"/>
      <c r="B7" s="10"/>
      <c r="C7" s="98" t="s">
        <v>201</v>
      </c>
      <c r="D7" s="100" t="str">
        <f>'Scoring Engine'!B16</f>
        <v>Critical Risk</v>
      </c>
      <c r="E7" s="10"/>
      <c r="F7" s="10"/>
      <c r="G7" s="10"/>
      <c r="H7" s="10"/>
      <c r="I7" s="10"/>
      <c r="J7" s="10"/>
      <c r="K7" s="10"/>
      <c r="L7" s="10"/>
      <c r="M7" s="10"/>
      <c r="N7" s="10"/>
      <c r="O7" s="10"/>
      <c r="P7" s="10"/>
      <c r="Q7" s="10"/>
      <c r="R7" s="10"/>
      <c r="S7" s="10"/>
      <c r="T7" s="10"/>
      <c r="U7" s="10"/>
      <c r="V7" s="10"/>
      <c r="W7" s="10"/>
      <c r="X7" s="10"/>
      <c r="Y7" s="10"/>
      <c r="Z7" s="10"/>
      <c r="AA7" s="10"/>
    </row>
    <row r="8" spans="1:27" s="1" customFormat="1" ht="28">
      <c r="A8" s="10"/>
      <c r="B8" s="10"/>
      <c r="C8" s="98" t="s">
        <v>344</v>
      </c>
      <c r="D8" s="100" t="str">
        <f>'Scoring Engine'!B18</f>
        <v>Strategy &amp; Vision</v>
      </c>
      <c r="E8" s="10"/>
      <c r="F8" s="10"/>
      <c r="G8" s="10"/>
      <c r="H8" s="10"/>
      <c r="I8" s="10"/>
      <c r="J8" s="10"/>
      <c r="K8" s="10"/>
      <c r="L8" s="10"/>
      <c r="M8" s="10"/>
      <c r="N8" s="10"/>
      <c r="O8" s="10"/>
      <c r="P8" s="10"/>
      <c r="Q8" s="10"/>
      <c r="R8" s="10"/>
      <c r="S8" s="10"/>
      <c r="T8" s="10"/>
      <c r="U8" s="10"/>
      <c r="V8" s="10"/>
      <c r="W8" s="10"/>
      <c r="X8" s="10"/>
      <c r="Y8" s="10"/>
      <c r="Z8" s="10"/>
      <c r="AA8" s="10"/>
    </row>
    <row r="9" spans="1:27" s="1" customFormat="1" ht="28">
      <c r="A9" s="10"/>
      <c r="B9" s="10"/>
      <c r="C9" s="98" t="s">
        <v>345</v>
      </c>
      <c r="D9" s="100" t="str">
        <f>'Scoring Engine'!B19</f>
        <v>Workforce &amp; Skills</v>
      </c>
      <c r="E9" s="10"/>
      <c r="F9" s="10"/>
      <c r="G9" s="10"/>
      <c r="H9" s="10"/>
      <c r="I9" s="10"/>
      <c r="J9" s="10"/>
      <c r="K9" s="10"/>
      <c r="L9" s="10"/>
      <c r="M9" s="10"/>
      <c r="N9" s="10"/>
      <c r="O9" s="10"/>
      <c r="P9" s="10"/>
      <c r="Q9" s="10"/>
      <c r="R9" s="10"/>
      <c r="S9" s="10"/>
      <c r="T9" s="10"/>
      <c r="U9" s="10"/>
      <c r="V9" s="10"/>
      <c r="W9" s="10"/>
      <c r="X9" s="10"/>
      <c r="Y9" s="10"/>
      <c r="Z9" s="10"/>
      <c r="AA9" s="10"/>
    </row>
    <row r="10" spans="1:27" s="1" customForma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row>
    <row r="11" spans="1:27" ht="14.5" thickBot="1">
      <c r="C11" s="97" t="s">
        <v>26</v>
      </c>
      <c r="D11" s="2"/>
      <c r="E11" s="2"/>
      <c r="F11" s="2"/>
      <c r="G11" s="2"/>
      <c r="H11" s="2"/>
      <c r="I11" s="2"/>
      <c r="J11" s="2"/>
      <c r="K11" s="2"/>
      <c r="L11" s="2"/>
      <c r="M11" s="2"/>
      <c r="N11" s="2"/>
      <c r="O11" s="2"/>
      <c r="P11" s="2"/>
      <c r="Q11" s="2"/>
      <c r="R11" s="2"/>
      <c r="S11" s="2"/>
      <c r="T11" s="2"/>
      <c r="U11" s="2"/>
      <c r="V11" s="2"/>
      <c r="W11" s="2"/>
      <c r="X11" s="2"/>
      <c r="Y11" s="2"/>
      <c r="Z11" s="2"/>
      <c r="AA11" s="2"/>
    </row>
    <row r="12" spans="1:27" s="1" customFormat="1" ht="34" customHeight="1">
      <c r="A12" s="95"/>
      <c r="B12" s="95"/>
      <c r="C12" s="125" t="str">
        <f>IF('Scoring Engine'!B14="","Complete the AI Readiness Assessment to generate an executive recommendation.",IF('Scoring Engine'!B14&lt;3,_xlfn._LONGTEXT("The organisation should prioritise foundational AI readiness activities over the next 0-3 months. Immediate focus should be placed on establishing executive sponsorship, defining an enterprise AI strategy, assigning governance ownership, improving data re","adiness and launching baseline AI literacy across the workforce."),IF('Scoring Engine'!B14&lt;4,_xlfn._LONGTEXT("The organisation has a developing AI readiness profile. Over the next 3-6 months, focus should be placed on formalising the AI operating model, strengthening governance and risk controls, improving data quality, expanding AI literacy and progressing prior","ity AI use cases."),IF('Scoring Engine'!B14&lt;4.5,_xlfn._LONGTEXT("The organisation has an established AI readiness position. Over the next 6-12 months, focus should shift toward scaling AI adoption, embedding performance management, enhancing executive reporting and strengthening value realisation across the AI portfoli","o."),"The organisation demonstrates an optimised AI readiness position. Focus should remain on continuous improvement, enterprise-wide value realisation, responsible AI assurance, advanced automation and sustained innovation."))))</f>
        <v>The organisation should prioritise foundational AI readiness activities over the next 0-3 months. Immediate focus should be placed on establishing executive sponsorship, defining an enterprise AI strategy, assigning governance ownership, improving data readiness and launching baseline AI literacy across the workforce.</v>
      </c>
      <c r="D12" s="126"/>
      <c r="E12" s="126"/>
      <c r="F12" s="127"/>
      <c r="G12" s="10"/>
      <c r="H12" s="10"/>
      <c r="I12" s="10"/>
      <c r="J12" s="10"/>
      <c r="K12" s="10"/>
      <c r="L12" s="10"/>
      <c r="M12" s="10"/>
      <c r="N12" s="10"/>
      <c r="O12" s="10"/>
      <c r="P12" s="10"/>
      <c r="Q12" s="10"/>
      <c r="R12" s="10"/>
      <c r="S12" s="10"/>
      <c r="T12" s="10"/>
      <c r="U12" s="10"/>
      <c r="V12" s="10"/>
      <c r="W12" s="10"/>
      <c r="X12" s="10"/>
      <c r="Y12" s="10"/>
      <c r="Z12" s="10"/>
      <c r="AA12" s="10"/>
    </row>
    <row r="13" spans="1:27" s="1" customFormat="1" ht="20" customHeight="1" thickBot="1">
      <c r="A13" s="95"/>
      <c r="B13" s="95"/>
      <c r="C13" s="128"/>
      <c r="D13" s="129"/>
      <c r="E13" s="129"/>
      <c r="F13" s="130"/>
      <c r="G13" s="10"/>
      <c r="H13" s="10"/>
      <c r="I13" s="10"/>
      <c r="J13" s="10"/>
      <c r="K13" s="10"/>
      <c r="L13" s="10"/>
      <c r="M13" s="10"/>
      <c r="N13" s="10"/>
      <c r="O13" s="10"/>
      <c r="P13" s="10"/>
      <c r="Q13" s="10"/>
      <c r="R13" s="10"/>
      <c r="S13" s="10"/>
      <c r="T13" s="10"/>
      <c r="U13" s="10"/>
      <c r="V13" s="10"/>
      <c r="W13" s="10"/>
      <c r="X13" s="10"/>
      <c r="Y13" s="10"/>
      <c r="Z13" s="10"/>
      <c r="AA13" s="10"/>
    </row>
    <row r="14" spans="1:27" s="1" customFormat="1">
      <c r="A14" s="95"/>
      <c r="B14" s="95"/>
      <c r="C14" s="95"/>
      <c r="D14" s="10"/>
      <c r="E14" s="10"/>
      <c r="F14" s="10"/>
      <c r="G14" s="10"/>
      <c r="H14" s="10"/>
      <c r="I14" s="10"/>
      <c r="J14" s="10"/>
      <c r="K14" s="10"/>
      <c r="L14" s="10"/>
      <c r="M14" s="10"/>
      <c r="N14" s="10"/>
      <c r="O14" s="10"/>
      <c r="P14" s="10"/>
      <c r="Q14" s="10"/>
      <c r="R14" s="10"/>
      <c r="S14" s="10"/>
      <c r="T14" s="10"/>
      <c r="U14" s="10"/>
      <c r="V14" s="10"/>
      <c r="W14" s="10"/>
      <c r="X14" s="10"/>
      <c r="Y14" s="10"/>
      <c r="Z14" s="10"/>
      <c r="AA14" s="10"/>
    </row>
    <row r="15" spans="1:27" s="1" customFormat="1">
      <c r="A15" s="95"/>
      <c r="B15" s="95"/>
      <c r="C15" s="95"/>
      <c r="D15" s="10"/>
      <c r="E15" s="10"/>
      <c r="F15" s="10"/>
      <c r="G15" s="10"/>
      <c r="H15" s="10"/>
      <c r="I15" s="10"/>
      <c r="J15" s="10"/>
      <c r="K15" s="10"/>
      <c r="L15" s="10"/>
      <c r="M15" s="10"/>
      <c r="N15" s="10"/>
      <c r="O15" s="10"/>
      <c r="P15" s="10"/>
      <c r="Q15" s="10"/>
      <c r="R15" s="10"/>
      <c r="S15" s="10"/>
      <c r="T15" s="10"/>
      <c r="U15" s="10"/>
      <c r="V15" s="10"/>
      <c r="W15" s="10"/>
      <c r="X15" s="10"/>
      <c r="Y15" s="10"/>
      <c r="Z15" s="10"/>
      <c r="AA15" s="10"/>
    </row>
    <row r="16" spans="1:27" s="1" customFormat="1">
      <c r="A16" s="95"/>
      <c r="B16" s="95"/>
      <c r="C16" s="95"/>
      <c r="D16" s="10"/>
      <c r="E16" s="10"/>
      <c r="F16" s="10"/>
      <c r="G16" s="10"/>
      <c r="H16" s="10"/>
      <c r="I16" s="10"/>
      <c r="J16" s="10"/>
      <c r="K16" s="10"/>
      <c r="L16" s="10"/>
      <c r="M16" s="10"/>
      <c r="N16" s="10"/>
      <c r="O16" s="10"/>
      <c r="P16" s="10"/>
      <c r="Q16" s="10"/>
      <c r="R16" s="10"/>
      <c r="S16" s="10"/>
      <c r="T16" s="10"/>
      <c r="U16" s="10"/>
      <c r="V16" s="10"/>
      <c r="W16" s="10"/>
      <c r="X16" s="10"/>
      <c r="Y16" s="10"/>
      <c r="Z16" s="10"/>
      <c r="AA16" s="10"/>
    </row>
    <row r="17" spans="1:27" ht="30">
      <c r="A17" s="2"/>
      <c r="B17" s="10"/>
      <c r="C17" s="11" t="s">
        <v>19</v>
      </c>
      <c r="G17" s="2"/>
      <c r="H17" s="2"/>
      <c r="I17" s="2"/>
      <c r="J17" s="2"/>
      <c r="K17" s="2"/>
      <c r="L17" s="2"/>
      <c r="M17" s="2"/>
      <c r="N17" s="2"/>
      <c r="O17" s="2"/>
      <c r="P17" s="2"/>
      <c r="Q17" s="2"/>
      <c r="R17" s="2"/>
      <c r="S17" s="2"/>
      <c r="T17" s="2"/>
      <c r="U17" s="2"/>
      <c r="V17" s="2"/>
      <c r="W17" s="2"/>
      <c r="X17" s="2"/>
      <c r="Y17" s="2"/>
      <c r="Z17" s="2"/>
      <c r="AA17" s="2"/>
    </row>
    <row r="18" spans="1:27">
      <c r="A18" s="2"/>
      <c r="B18" s="10"/>
      <c r="G18" s="2"/>
      <c r="H18" s="2"/>
      <c r="I18" s="2"/>
      <c r="J18" s="2"/>
      <c r="K18" s="2"/>
      <c r="L18" s="2"/>
      <c r="M18" s="2"/>
      <c r="N18" s="2"/>
      <c r="O18" s="2"/>
      <c r="P18" s="2"/>
      <c r="Q18" s="2"/>
      <c r="R18" s="2"/>
      <c r="S18" s="2"/>
      <c r="T18" s="2"/>
      <c r="U18" s="2"/>
      <c r="V18" s="2"/>
      <c r="W18" s="2"/>
      <c r="X18" s="2"/>
      <c r="Y18" s="2"/>
      <c r="Z18" s="2"/>
      <c r="AA18" s="2"/>
    </row>
    <row r="19" spans="1:27">
      <c r="A19" s="2"/>
      <c r="B19" s="10"/>
      <c r="C19" s="97" t="s">
        <v>335</v>
      </c>
      <c r="G19" s="2"/>
      <c r="H19" s="2"/>
      <c r="I19" s="2"/>
      <c r="J19" s="2"/>
      <c r="K19" s="2"/>
      <c r="L19" s="2"/>
      <c r="M19" s="2"/>
      <c r="N19" s="2"/>
      <c r="O19" s="2"/>
      <c r="P19" s="2"/>
      <c r="Q19" s="2"/>
      <c r="R19" s="2"/>
      <c r="S19" s="2"/>
      <c r="T19" s="2"/>
      <c r="U19" s="2"/>
      <c r="V19" s="2"/>
      <c r="W19" s="2"/>
      <c r="X19" s="2"/>
      <c r="Y19" s="2"/>
      <c r="Z19" s="2"/>
      <c r="AA19" s="2"/>
    </row>
    <row r="20" spans="1:27">
      <c r="A20" s="2"/>
      <c r="B20" s="10"/>
      <c r="G20" s="2"/>
      <c r="H20" s="2"/>
      <c r="I20" s="2"/>
      <c r="J20" s="2"/>
      <c r="K20" s="2"/>
      <c r="L20" s="2"/>
      <c r="M20" s="2"/>
      <c r="N20" s="2"/>
      <c r="O20" s="2"/>
      <c r="P20" s="2"/>
      <c r="Q20" s="2"/>
      <c r="R20" s="2"/>
      <c r="S20" s="2"/>
      <c r="T20" s="2"/>
      <c r="U20" s="2"/>
      <c r="V20" s="2"/>
      <c r="W20" s="2"/>
      <c r="X20" s="2"/>
      <c r="Y20" s="2"/>
      <c r="Z20" s="2"/>
      <c r="AA20" s="2"/>
    </row>
    <row r="21" spans="1:27">
      <c r="A21" s="2"/>
      <c r="B21" s="10"/>
      <c r="C21" t="s">
        <v>336</v>
      </c>
      <c r="G21" s="2"/>
      <c r="H21" s="2"/>
      <c r="I21" s="2"/>
      <c r="J21" s="2"/>
      <c r="K21" s="2"/>
      <c r="L21" s="2"/>
      <c r="M21" s="2"/>
      <c r="N21" s="2"/>
      <c r="O21" s="2"/>
      <c r="P21" s="2"/>
      <c r="Q21" s="2"/>
      <c r="R21" s="2"/>
      <c r="S21" s="2"/>
      <c r="T21" s="2"/>
      <c r="U21" s="2"/>
      <c r="V21" s="2"/>
      <c r="W21" s="2"/>
      <c r="X21" s="2"/>
      <c r="Y21" s="2"/>
      <c r="Z21" s="2"/>
      <c r="AA21" s="2"/>
    </row>
    <row r="22" spans="1:27">
      <c r="A22" s="2"/>
      <c r="B22" s="10"/>
      <c r="G22" s="2"/>
      <c r="H22" s="2"/>
      <c r="I22" s="2"/>
      <c r="J22" s="2"/>
      <c r="K22" s="2"/>
      <c r="L22" s="2"/>
      <c r="M22" s="2"/>
      <c r="N22" s="2"/>
      <c r="O22" s="2"/>
      <c r="P22" s="2"/>
      <c r="Q22" s="2"/>
      <c r="R22" s="2"/>
      <c r="S22" s="2"/>
      <c r="T22" s="2"/>
      <c r="U22" s="2"/>
      <c r="V22" s="2"/>
      <c r="W22" s="2"/>
      <c r="X22" s="2"/>
      <c r="Y22" s="2"/>
      <c r="Z22" s="2"/>
      <c r="AA22" s="2"/>
    </row>
    <row r="23" spans="1:27">
      <c r="A23" s="2"/>
      <c r="B23" s="94" t="s">
        <v>347</v>
      </c>
      <c r="C23" s="94" t="s">
        <v>132</v>
      </c>
      <c r="D23" s="94" t="s">
        <v>0</v>
      </c>
      <c r="E23" s="94" t="s">
        <v>322</v>
      </c>
      <c r="F23" s="94" t="s">
        <v>323</v>
      </c>
      <c r="G23" s="2"/>
      <c r="H23" s="2"/>
      <c r="I23" s="2"/>
      <c r="J23" s="2"/>
      <c r="K23" s="2"/>
      <c r="L23" s="2"/>
      <c r="M23" s="2"/>
      <c r="N23" s="2"/>
      <c r="O23" s="2"/>
      <c r="P23" s="2"/>
      <c r="Q23" s="2"/>
      <c r="R23" s="2"/>
      <c r="S23" s="2"/>
      <c r="T23" s="2"/>
      <c r="U23" s="2"/>
      <c r="V23" s="2"/>
      <c r="W23" s="2"/>
      <c r="X23" s="2"/>
      <c r="Y23" s="2"/>
      <c r="Z23" s="2"/>
      <c r="AA23" s="2"/>
    </row>
    <row r="24" spans="1:27" ht="56" customHeight="1">
      <c r="A24" s="2"/>
      <c r="B24" s="98">
        <v>1</v>
      </c>
      <c r="C24" s="69" t="str">
        <f>IF(D24="","",INDEX('Scoring Engine'!$A$4:$A$13,MATCH(D24,'Scoring Engine'!$B$4:$B$13,0)))</f>
        <v>Workforce &amp; Skills</v>
      </c>
      <c r="D24" s="102">
        <f>IF(COUNT('Scoring Engine'!$B$4:$B$13)&gt;=1,SMALL('Scoring Engine'!$B$4:$B$13,1),"")</f>
        <v>1</v>
      </c>
      <c r="E24" s="69" t="str">
        <f>IF(C24="","",VLOOKUP(C24,'Domain Recommendation Library'!$B$7:$C$16,2,FALSE))</f>
        <v>Establish AI literacy and capability development programmes.</v>
      </c>
      <c r="F24" s="69" t="str">
        <f>"Immediate Priority (0–3 Months)"</f>
        <v>Immediate Priority (0–3 Months)</v>
      </c>
      <c r="G24" s="2"/>
      <c r="H24" s="2"/>
      <c r="I24" s="2"/>
      <c r="J24" s="2"/>
      <c r="K24" s="2"/>
      <c r="L24" s="2"/>
      <c r="M24" s="2"/>
      <c r="N24" s="2"/>
      <c r="O24" s="2"/>
      <c r="P24" s="2"/>
      <c r="Q24" s="2"/>
      <c r="R24" s="2"/>
      <c r="S24" s="2"/>
      <c r="T24" s="2"/>
      <c r="U24" s="2"/>
      <c r="V24" s="2"/>
      <c r="W24" s="2"/>
      <c r="X24" s="2"/>
      <c r="Y24" s="2"/>
      <c r="Z24" s="2"/>
      <c r="AA24" s="2"/>
    </row>
    <row r="25" spans="1:27" ht="28">
      <c r="A25" s="2"/>
      <c r="B25" s="98">
        <v>2</v>
      </c>
      <c r="C25" s="69" t="str">
        <f>IF(D25="","",INDEX('Scoring Engine'!$A$4:$A$13,MATCH(D25,'Scoring Engine'!$B$4:$B$13,0)))</f>
        <v>Strategy &amp; Vision</v>
      </c>
      <c r="D25" s="102">
        <f>IF(COUNT('Scoring Engine'!$B$4:$B$13)&gt;=2,SMALL('Scoring Engine'!$B$4:$B$13,2),"")</f>
        <v>2</v>
      </c>
      <c r="E25" s="69" t="str">
        <f>IF(C25="","",VLOOKUP(C25,'Domain Recommendation Library'!$B$7:$C$16,2,FALSE))</f>
        <v>Develop and approve an enterprise AI strategy and roadmap.</v>
      </c>
      <c r="F25" s="69" t="str">
        <f t="shared" ref="F25:F26" si="0">"Immediate Priority (0–3 Months)"</f>
        <v>Immediate Priority (0–3 Months)</v>
      </c>
      <c r="G25" s="2"/>
      <c r="H25" s="2"/>
      <c r="I25" s="2"/>
      <c r="J25" s="2"/>
      <c r="K25" s="2"/>
      <c r="L25" s="2"/>
      <c r="M25" s="2"/>
      <c r="N25" s="2"/>
      <c r="O25" s="2"/>
      <c r="P25" s="2"/>
      <c r="Q25" s="2"/>
      <c r="R25" s="2"/>
      <c r="S25" s="2"/>
      <c r="T25" s="2"/>
      <c r="U25" s="2"/>
      <c r="V25" s="2"/>
      <c r="W25" s="2"/>
      <c r="X25" s="2"/>
      <c r="Y25" s="2"/>
      <c r="Z25" s="2"/>
      <c r="AA25" s="2"/>
    </row>
    <row r="26" spans="1:27">
      <c r="A26" s="2"/>
      <c r="B26" s="98">
        <v>3</v>
      </c>
      <c r="C26" s="69" t="str">
        <f>IF(D26="","",INDEX('Scoring Engine'!$A$4:$A$13,MATCH(D26,'Scoring Engine'!$B$4:$B$13,0)))</f>
        <v/>
      </c>
      <c r="D26" s="102" t="str">
        <f>IF(COUNT('Scoring Engine'!$B$4:$B$13)&gt;=3,SMALL('Scoring Engine'!$B$4:$B$13,3),"")</f>
        <v/>
      </c>
      <c r="E26" s="69" t="str">
        <f>IF(C26="","",VLOOKUP(C26,'Domain Recommendation Library'!$B$7:$C$16,2,FALSE))</f>
        <v/>
      </c>
      <c r="F26" s="69" t="str">
        <f t="shared" si="0"/>
        <v>Immediate Priority (0–3 Months)</v>
      </c>
      <c r="G26" s="2"/>
      <c r="H26" s="2"/>
      <c r="I26" s="2"/>
      <c r="J26" s="2"/>
      <c r="K26" s="2"/>
      <c r="L26" s="2"/>
      <c r="M26" s="2"/>
      <c r="N26" s="2"/>
      <c r="O26" s="2"/>
      <c r="P26" s="2"/>
      <c r="Q26" s="2"/>
      <c r="R26" s="2"/>
      <c r="S26" s="2"/>
      <c r="T26" s="2"/>
      <c r="U26" s="2"/>
      <c r="V26" s="2"/>
      <c r="W26" s="2"/>
      <c r="X26" s="2"/>
      <c r="Y26" s="2"/>
      <c r="Z26" s="2"/>
      <c r="AA26" s="2"/>
    </row>
    <row r="27" spans="1:27" s="1" customFormat="1">
      <c r="A27" s="10"/>
      <c r="B27" s="95"/>
      <c r="C27" s="95"/>
      <c r="D27" s="121"/>
      <c r="E27" s="95"/>
      <c r="F27" s="95"/>
      <c r="G27" s="10"/>
      <c r="H27" s="10"/>
      <c r="I27" s="10"/>
      <c r="J27" s="10"/>
      <c r="K27" s="10"/>
      <c r="L27" s="10"/>
      <c r="M27" s="10"/>
      <c r="N27" s="10"/>
      <c r="O27" s="10"/>
      <c r="P27" s="10"/>
      <c r="Q27" s="10"/>
      <c r="R27" s="10"/>
      <c r="S27" s="10"/>
      <c r="T27" s="10"/>
      <c r="U27" s="10"/>
      <c r="V27" s="10"/>
      <c r="W27" s="10"/>
      <c r="X27" s="10"/>
      <c r="Y27" s="10"/>
      <c r="Z27" s="10"/>
      <c r="AA27" s="10"/>
    </row>
    <row r="28" spans="1:27" s="1" customFormat="1">
      <c r="A28" s="10"/>
      <c r="B28" s="95"/>
      <c r="C28" s="95"/>
      <c r="D28" s="121"/>
      <c r="E28" s="95"/>
      <c r="F28" s="95"/>
      <c r="G28" s="10"/>
      <c r="H28" s="10"/>
      <c r="I28" s="10"/>
      <c r="J28" s="10"/>
      <c r="K28" s="10"/>
      <c r="L28" s="10"/>
      <c r="M28" s="10"/>
      <c r="N28" s="10"/>
      <c r="O28" s="10"/>
      <c r="P28" s="10"/>
      <c r="Q28" s="10"/>
      <c r="R28" s="10"/>
      <c r="S28" s="10"/>
      <c r="T28" s="10"/>
      <c r="U28" s="10"/>
      <c r="V28" s="10"/>
      <c r="W28" s="10"/>
      <c r="X28" s="10"/>
      <c r="Y28" s="10"/>
      <c r="Z28" s="10"/>
      <c r="AA28" s="10"/>
    </row>
    <row r="29" spans="1:27" s="1" customFormat="1">
      <c r="A29" s="10"/>
      <c r="B29" s="10"/>
      <c r="C29" s="95"/>
      <c r="D29" s="95"/>
      <c r="E29" s="95"/>
      <c r="F29" s="95"/>
      <c r="G29" s="10"/>
      <c r="H29" s="10"/>
      <c r="I29" s="10"/>
      <c r="J29" s="10"/>
      <c r="K29" s="10"/>
      <c r="L29" s="10"/>
      <c r="M29" s="10"/>
      <c r="N29" s="10"/>
      <c r="O29" s="10"/>
      <c r="P29" s="10"/>
      <c r="Q29" s="10"/>
      <c r="R29" s="10"/>
      <c r="S29" s="10"/>
      <c r="T29" s="10"/>
      <c r="U29" s="10"/>
      <c r="V29" s="10"/>
      <c r="W29" s="10"/>
      <c r="X29" s="10"/>
      <c r="Y29" s="10"/>
      <c r="Z29" s="10"/>
      <c r="AA29" s="10"/>
    </row>
    <row r="30" spans="1:27" s="1" customFormat="1" ht="30">
      <c r="A30" s="10"/>
      <c r="B30" s="10"/>
      <c r="C30" s="11" t="s">
        <v>20</v>
      </c>
      <c r="D30"/>
      <c r="E30"/>
      <c r="F30"/>
      <c r="G30" s="10"/>
      <c r="H30" s="10"/>
      <c r="I30" s="10"/>
      <c r="J30" s="10"/>
      <c r="K30" s="10"/>
      <c r="L30" s="10"/>
      <c r="M30" s="10"/>
      <c r="N30" s="10"/>
      <c r="O30" s="10"/>
      <c r="P30" s="10"/>
      <c r="Q30" s="10"/>
      <c r="R30" s="10"/>
      <c r="S30" s="10"/>
      <c r="T30" s="10"/>
      <c r="U30" s="10"/>
      <c r="V30" s="10"/>
      <c r="W30" s="10"/>
      <c r="X30" s="10"/>
      <c r="Y30" s="10"/>
      <c r="Z30" s="10"/>
      <c r="AA30" s="10"/>
    </row>
    <row r="31" spans="1:27" s="1" customFormat="1">
      <c r="A31" s="10"/>
      <c r="B31" s="10"/>
      <c r="C31"/>
      <c r="D31"/>
      <c r="E31"/>
      <c r="F31"/>
      <c r="G31" s="10"/>
      <c r="H31" s="10"/>
      <c r="I31" s="10"/>
      <c r="J31" s="10"/>
      <c r="K31" s="10"/>
      <c r="L31" s="10"/>
      <c r="M31" s="10"/>
      <c r="N31" s="10"/>
      <c r="O31" s="10"/>
      <c r="P31" s="10"/>
      <c r="Q31" s="10"/>
      <c r="R31" s="10"/>
      <c r="S31" s="10"/>
      <c r="T31" s="10"/>
      <c r="U31" s="10"/>
      <c r="V31" s="10"/>
      <c r="W31" s="10"/>
      <c r="X31" s="10"/>
      <c r="Y31" s="10"/>
      <c r="Z31" s="10"/>
      <c r="AA31" s="10"/>
    </row>
    <row r="32" spans="1:27" s="1" customFormat="1">
      <c r="A32" s="10"/>
      <c r="B32" s="10"/>
      <c r="C32" s="97" t="s">
        <v>340</v>
      </c>
      <c r="D32"/>
      <c r="E32"/>
      <c r="F32"/>
      <c r="G32" s="10"/>
      <c r="H32" s="10"/>
      <c r="I32" s="10"/>
      <c r="J32" s="10"/>
      <c r="K32" s="10"/>
      <c r="L32" s="10"/>
      <c r="M32" s="10"/>
      <c r="N32" s="10"/>
      <c r="O32" s="10"/>
      <c r="P32" s="10"/>
      <c r="Q32" s="10"/>
      <c r="R32" s="10"/>
      <c r="S32" s="10"/>
      <c r="T32" s="10"/>
      <c r="U32" s="10"/>
      <c r="V32" s="10"/>
      <c r="W32" s="10"/>
      <c r="X32" s="10"/>
      <c r="Y32" s="10"/>
      <c r="Z32" s="10"/>
      <c r="AA32" s="10"/>
    </row>
    <row r="33" spans="1:27" s="1" customFormat="1">
      <c r="A33" s="10"/>
      <c r="B33" s="10"/>
      <c r="C33"/>
      <c r="D33"/>
      <c r="E33"/>
      <c r="F33"/>
      <c r="G33" s="10"/>
      <c r="H33" s="10"/>
      <c r="I33" s="10"/>
      <c r="J33" s="10"/>
      <c r="K33" s="10"/>
      <c r="L33" s="10"/>
      <c r="M33" s="10"/>
      <c r="N33" s="10"/>
      <c r="O33" s="10"/>
      <c r="P33" s="10"/>
      <c r="Q33" s="10"/>
      <c r="R33" s="10"/>
      <c r="S33" s="10"/>
      <c r="T33" s="10"/>
      <c r="U33" s="10"/>
      <c r="V33" s="10"/>
      <c r="W33" s="10"/>
      <c r="X33" s="10"/>
      <c r="Y33" s="10"/>
      <c r="Z33" s="10"/>
      <c r="AA33" s="10"/>
    </row>
    <row r="34" spans="1:27" s="1" customFormat="1">
      <c r="A34" s="10"/>
      <c r="B34" s="10"/>
      <c r="C34" t="s">
        <v>341</v>
      </c>
      <c r="D34"/>
      <c r="E34"/>
      <c r="F34"/>
      <c r="G34" s="10"/>
      <c r="H34" s="10"/>
      <c r="I34" s="10"/>
      <c r="J34" s="10"/>
      <c r="K34" s="10"/>
      <c r="L34" s="10"/>
      <c r="M34" s="10"/>
      <c r="N34" s="10"/>
      <c r="O34" s="10"/>
      <c r="P34" s="10"/>
      <c r="Q34" s="10"/>
      <c r="R34" s="10"/>
      <c r="S34" s="10"/>
      <c r="T34" s="10"/>
      <c r="U34" s="10"/>
      <c r="V34" s="10"/>
      <c r="W34" s="10"/>
      <c r="X34" s="10"/>
      <c r="Y34" s="10"/>
      <c r="Z34" s="10"/>
      <c r="AA34" s="10"/>
    </row>
    <row r="35" spans="1:27" s="1" customFormat="1">
      <c r="A35" s="10"/>
      <c r="B35" s="10"/>
      <c r="C35"/>
      <c r="D35"/>
      <c r="E35"/>
      <c r="F35"/>
      <c r="G35" s="10"/>
      <c r="H35" s="10"/>
      <c r="I35" s="10"/>
      <c r="J35" s="10"/>
      <c r="K35" s="10"/>
      <c r="L35" s="10"/>
      <c r="M35" s="10"/>
      <c r="N35" s="10"/>
      <c r="O35" s="10"/>
      <c r="P35" s="10"/>
      <c r="Q35" s="10"/>
      <c r="R35" s="10"/>
      <c r="S35" s="10"/>
      <c r="T35" s="10"/>
      <c r="U35" s="10"/>
      <c r="V35" s="10"/>
      <c r="W35" s="10"/>
      <c r="X35" s="10"/>
      <c r="Y35" s="10"/>
      <c r="Z35" s="10"/>
      <c r="AA35" s="10"/>
    </row>
    <row r="36" spans="1:27" s="1" customFormat="1">
      <c r="A36" s="10"/>
      <c r="B36" s="94" t="s">
        <v>347</v>
      </c>
      <c r="C36" s="94" t="s">
        <v>132</v>
      </c>
      <c r="D36" s="94" t="s">
        <v>0</v>
      </c>
      <c r="E36" s="94" t="s">
        <v>322</v>
      </c>
      <c r="F36" s="94" t="s">
        <v>323</v>
      </c>
      <c r="G36" s="10"/>
      <c r="H36" s="10"/>
      <c r="I36" s="10"/>
      <c r="J36" s="10"/>
      <c r="K36" s="10"/>
      <c r="L36" s="10"/>
      <c r="M36" s="10"/>
      <c r="N36" s="10"/>
      <c r="O36" s="10"/>
      <c r="P36" s="10"/>
      <c r="Q36" s="10"/>
      <c r="R36" s="10"/>
      <c r="S36" s="10"/>
      <c r="T36" s="10"/>
      <c r="U36" s="10"/>
      <c r="V36" s="10"/>
      <c r="W36" s="10"/>
      <c r="X36" s="10"/>
      <c r="Y36" s="10"/>
      <c r="Z36" s="10"/>
      <c r="AA36" s="10"/>
    </row>
    <row r="37" spans="1:27" s="1" customFormat="1">
      <c r="A37" s="10"/>
      <c r="B37" s="98">
        <v>1</v>
      </c>
      <c r="C37" s="69" t="str">
        <f>IF(D37="","",INDEX('Scoring Engine'!$A$4:$A$13,MATCH(D37,'Scoring Engine'!$B$4:$B$13,0)))</f>
        <v/>
      </c>
      <c r="D37" s="69" t="str">
        <f>IF(COUNT('Scoring Engine'!$B$4:$B$13)&gt;=4,SMALL('Scoring Engine'!$B$4:$B$13,4),"")</f>
        <v/>
      </c>
      <c r="E37" s="69" t="str">
        <f>IF(C37="","",VLOOKUP(C37,'Domain Recommendation Library'!$B$7:$C$16,2,FALSE))</f>
        <v/>
      </c>
      <c r="F37" s="69" t="str">
        <f>"Medium-Term Priority (3–6 Months)"</f>
        <v>Medium-Term Priority (3–6 Months)</v>
      </c>
      <c r="G37" s="10"/>
      <c r="H37" s="10"/>
      <c r="I37" s="10"/>
      <c r="J37" s="10"/>
      <c r="K37" s="10"/>
      <c r="L37" s="10"/>
      <c r="M37" s="10"/>
      <c r="N37" s="10"/>
      <c r="O37" s="10"/>
      <c r="P37" s="10"/>
      <c r="Q37" s="10"/>
      <c r="R37" s="10"/>
      <c r="S37" s="10"/>
      <c r="T37" s="10"/>
      <c r="U37" s="10"/>
      <c r="V37" s="10"/>
      <c r="W37" s="10"/>
      <c r="X37" s="10"/>
      <c r="Y37" s="10"/>
      <c r="Z37" s="10"/>
      <c r="AA37" s="10"/>
    </row>
    <row r="38" spans="1:27" s="1" customFormat="1">
      <c r="A38" s="10"/>
      <c r="B38" s="98">
        <v>2</v>
      </c>
      <c r="C38" s="69" t="str">
        <f>IF(D38="","",INDEX('Scoring Engine'!$A$4:$A$13,MATCH(D38,'Scoring Engine'!$B$4:$B$13,0)))</f>
        <v/>
      </c>
      <c r="D38" s="69" t="str">
        <f>IF(COUNT('Scoring Engine'!$B$4:$B$13)&gt;=5,SMALL('Scoring Engine'!$B$4:$B$13,5),"")</f>
        <v/>
      </c>
      <c r="E38" s="69" t="str">
        <f>IF(C38="","",VLOOKUP(C38,'Domain Recommendation Library'!$B$7:$C$16,2,FALSE))</f>
        <v/>
      </c>
      <c r="F38" s="69" t="str">
        <f t="shared" ref="F38:F39" si="1">"Medium-Term Priority (3–6 Months)"</f>
        <v>Medium-Term Priority (3–6 Months)</v>
      </c>
      <c r="G38" s="10"/>
      <c r="H38" s="10"/>
      <c r="I38" s="10"/>
      <c r="J38" s="10"/>
      <c r="K38" s="10"/>
      <c r="L38" s="10"/>
      <c r="M38" s="10"/>
      <c r="N38" s="10"/>
      <c r="O38" s="10"/>
      <c r="P38" s="10"/>
      <c r="Q38" s="10"/>
      <c r="R38" s="10"/>
      <c r="S38" s="10"/>
      <c r="T38" s="10"/>
      <c r="U38" s="10"/>
      <c r="V38" s="10"/>
      <c r="W38" s="10"/>
      <c r="X38" s="10"/>
      <c r="Y38" s="10"/>
      <c r="Z38" s="10"/>
      <c r="AA38" s="10"/>
    </row>
    <row r="39" spans="1:27" s="1" customFormat="1">
      <c r="A39" s="10"/>
      <c r="B39" s="98">
        <v>3</v>
      </c>
      <c r="C39" s="69" t="str">
        <f>IF(D39="","",INDEX('Scoring Engine'!$A$4:$A$13,MATCH(D39,'Scoring Engine'!$B$4:$B$13,0)))</f>
        <v/>
      </c>
      <c r="D39" s="69" t="str">
        <f>IF(COUNT('Scoring Engine'!$B$4:$B$13)&gt;=6,SMALL('Scoring Engine'!$B$4:$B$13,6),"")</f>
        <v/>
      </c>
      <c r="E39" s="69" t="str">
        <f>IF(C39="","",VLOOKUP(C39,'Domain Recommendation Library'!$B$7:$C$16,2,FALSE))</f>
        <v/>
      </c>
      <c r="F39" s="69" t="str">
        <f t="shared" si="1"/>
        <v>Medium-Term Priority (3–6 Months)</v>
      </c>
      <c r="G39" s="10"/>
      <c r="H39" s="10"/>
      <c r="I39" s="10"/>
      <c r="J39" s="10"/>
      <c r="K39" s="10"/>
      <c r="L39" s="10"/>
      <c r="M39" s="10"/>
      <c r="N39" s="10"/>
      <c r="O39" s="10"/>
      <c r="P39" s="10"/>
      <c r="Q39" s="10"/>
      <c r="R39" s="10"/>
      <c r="S39" s="10"/>
      <c r="T39" s="10"/>
      <c r="U39" s="10"/>
      <c r="V39" s="10"/>
      <c r="W39" s="10"/>
      <c r="X39" s="10"/>
      <c r="Y39" s="10"/>
      <c r="Z39" s="10"/>
      <c r="AA39" s="10"/>
    </row>
    <row r="40" spans="1:27" s="1" customFormat="1">
      <c r="A40" s="10"/>
      <c r="B40" s="10"/>
      <c r="C40" s="95"/>
      <c r="D40" s="95"/>
      <c r="E40" s="95"/>
      <c r="F40" s="95"/>
      <c r="G40" s="10"/>
      <c r="H40" s="10"/>
      <c r="I40" s="10"/>
      <c r="J40" s="10"/>
      <c r="K40" s="10"/>
      <c r="L40" s="10"/>
      <c r="M40" s="10"/>
      <c r="N40" s="10"/>
      <c r="O40" s="10"/>
      <c r="P40" s="10"/>
      <c r="Q40" s="10"/>
      <c r="R40" s="10"/>
      <c r="S40" s="10"/>
      <c r="T40" s="10"/>
      <c r="U40" s="10"/>
      <c r="V40" s="10"/>
      <c r="W40" s="10"/>
      <c r="X40" s="10"/>
      <c r="Y40" s="10"/>
      <c r="Z40" s="10"/>
      <c r="AA40" s="10"/>
    </row>
    <row r="41" spans="1:27" s="1" customFormat="1">
      <c r="A41" s="10"/>
      <c r="B41" s="10"/>
      <c r="C41" s="95"/>
      <c r="D41" s="95"/>
      <c r="E41" s="95"/>
      <c r="F41" s="95"/>
      <c r="G41" s="10"/>
      <c r="H41" s="10"/>
      <c r="I41" s="10"/>
      <c r="J41" s="10"/>
      <c r="K41" s="10"/>
      <c r="L41" s="10"/>
      <c r="M41" s="10"/>
      <c r="N41" s="10"/>
      <c r="O41" s="10"/>
      <c r="P41" s="10"/>
      <c r="Q41" s="10"/>
      <c r="R41" s="10"/>
      <c r="S41" s="10"/>
      <c r="T41" s="10"/>
      <c r="U41" s="10"/>
      <c r="V41" s="10"/>
      <c r="W41" s="10"/>
      <c r="X41" s="10"/>
      <c r="Y41" s="10"/>
      <c r="Z41" s="10"/>
      <c r="AA41" s="10"/>
    </row>
    <row r="42" spans="1:27">
      <c r="A42" s="2"/>
      <c r="B42" s="10"/>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10"/>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10"/>
      <c r="C44" s="2"/>
      <c r="D44" s="2"/>
      <c r="E44" s="2"/>
      <c r="F44" s="2"/>
      <c r="G44" s="2"/>
      <c r="H44" s="2"/>
      <c r="I44" s="2"/>
      <c r="J44" s="2"/>
      <c r="K44" s="2"/>
      <c r="L44" s="2"/>
      <c r="M44" s="2"/>
      <c r="N44" s="2"/>
      <c r="O44" s="2"/>
      <c r="P44" s="2"/>
      <c r="Q44" s="2"/>
      <c r="R44" s="2"/>
      <c r="S44" s="2"/>
      <c r="T44" s="2"/>
      <c r="U44" s="2"/>
      <c r="V44" s="2"/>
      <c r="W44" s="2"/>
      <c r="X44" s="2"/>
      <c r="Y44" s="2"/>
      <c r="Z44" s="2"/>
      <c r="AA44" s="2"/>
    </row>
    <row r="45" spans="1:27" ht="30">
      <c r="A45" s="2"/>
      <c r="B45" s="10"/>
      <c r="C45" s="11" t="s">
        <v>337</v>
      </c>
      <c r="G45" s="2"/>
      <c r="H45" s="2"/>
      <c r="I45" s="2"/>
      <c r="J45" s="2"/>
      <c r="K45" s="2"/>
      <c r="L45" s="2"/>
      <c r="M45" s="2"/>
      <c r="N45" s="2"/>
      <c r="O45" s="2"/>
      <c r="P45" s="2"/>
      <c r="Q45" s="2"/>
      <c r="R45" s="2"/>
      <c r="S45" s="2"/>
      <c r="T45" s="2"/>
      <c r="U45" s="2"/>
      <c r="V45" s="2"/>
      <c r="W45" s="2"/>
      <c r="X45" s="2"/>
      <c r="Y45" s="2"/>
      <c r="Z45" s="2"/>
      <c r="AA45" s="2"/>
    </row>
    <row r="46" spans="1:27">
      <c r="A46" s="2"/>
      <c r="B46" s="10"/>
      <c r="G46" s="2"/>
      <c r="H46" s="2"/>
      <c r="I46" s="2"/>
      <c r="J46" s="2"/>
      <c r="K46" s="2"/>
      <c r="L46" s="2"/>
      <c r="M46" s="2"/>
      <c r="N46" s="2"/>
      <c r="O46" s="2"/>
      <c r="P46" s="2"/>
      <c r="Q46" s="2"/>
      <c r="R46" s="2"/>
      <c r="S46" s="2"/>
      <c r="T46" s="2"/>
      <c r="U46" s="2"/>
      <c r="V46" s="2"/>
      <c r="W46" s="2"/>
      <c r="X46" s="2"/>
      <c r="Y46" s="2"/>
      <c r="Z46" s="2"/>
      <c r="AA46" s="2"/>
    </row>
    <row r="47" spans="1:27">
      <c r="A47" s="2"/>
      <c r="B47" s="10"/>
      <c r="C47" s="97" t="s">
        <v>338</v>
      </c>
      <c r="G47" s="2"/>
      <c r="H47" s="2"/>
      <c r="I47" s="2"/>
      <c r="J47" s="2"/>
      <c r="K47" s="2"/>
      <c r="L47" s="2"/>
      <c r="M47" s="2"/>
      <c r="N47" s="2"/>
      <c r="O47" s="2"/>
      <c r="P47" s="2"/>
      <c r="Q47" s="2"/>
      <c r="R47" s="2"/>
      <c r="S47" s="2"/>
      <c r="T47" s="2"/>
      <c r="U47" s="2"/>
      <c r="V47" s="2"/>
      <c r="W47" s="2"/>
      <c r="X47" s="2"/>
      <c r="Y47" s="2"/>
      <c r="Z47" s="2"/>
      <c r="AA47" s="2"/>
    </row>
    <row r="48" spans="1:27">
      <c r="A48" s="2"/>
      <c r="B48" s="10"/>
      <c r="G48" s="2"/>
      <c r="H48" s="2"/>
      <c r="I48" s="2"/>
      <c r="J48" s="2"/>
      <c r="K48" s="2"/>
      <c r="L48" s="2"/>
      <c r="M48" s="2"/>
      <c r="N48" s="2"/>
      <c r="O48" s="2"/>
      <c r="P48" s="2"/>
      <c r="Q48" s="2"/>
      <c r="R48" s="2"/>
      <c r="S48" s="2"/>
      <c r="T48" s="2"/>
      <c r="U48" s="2"/>
      <c r="V48" s="2"/>
      <c r="W48" s="2"/>
      <c r="X48" s="2"/>
      <c r="Y48" s="2"/>
      <c r="Z48" s="2"/>
      <c r="AA48" s="2"/>
    </row>
    <row r="49" spans="1:27">
      <c r="A49" s="2"/>
      <c r="B49" s="10"/>
      <c r="C49" t="s">
        <v>339</v>
      </c>
      <c r="G49" s="2"/>
      <c r="H49" s="2"/>
      <c r="I49" s="2"/>
      <c r="J49" s="2"/>
      <c r="K49" s="2"/>
      <c r="L49" s="2"/>
      <c r="M49" s="2"/>
      <c r="N49" s="2"/>
      <c r="O49" s="2"/>
      <c r="P49" s="2"/>
      <c r="Q49" s="2"/>
      <c r="R49" s="2"/>
      <c r="S49" s="2"/>
      <c r="T49" s="2"/>
      <c r="U49" s="2"/>
      <c r="V49" s="2"/>
      <c r="W49" s="2"/>
      <c r="X49" s="2"/>
      <c r="Y49" s="2"/>
      <c r="Z49" s="2"/>
      <c r="AA49" s="2"/>
    </row>
    <row r="50" spans="1:27">
      <c r="A50" s="2"/>
      <c r="B50" s="10"/>
      <c r="G50" s="2"/>
      <c r="H50" s="2"/>
      <c r="I50" s="2"/>
      <c r="J50" s="2"/>
      <c r="K50" s="2"/>
      <c r="L50" s="2"/>
      <c r="M50" s="2"/>
      <c r="N50" s="2"/>
      <c r="O50" s="2"/>
      <c r="P50" s="2"/>
      <c r="Q50" s="2"/>
      <c r="R50" s="2"/>
      <c r="S50" s="2"/>
      <c r="T50" s="2"/>
      <c r="U50" s="2"/>
      <c r="V50" s="2"/>
      <c r="W50" s="2"/>
      <c r="X50" s="2"/>
      <c r="Y50" s="2"/>
      <c r="Z50" s="2"/>
      <c r="AA50" s="2"/>
    </row>
    <row r="51" spans="1:27">
      <c r="A51" s="2"/>
      <c r="B51" s="94" t="s">
        <v>347</v>
      </c>
      <c r="C51" s="94" t="s">
        <v>132</v>
      </c>
      <c r="D51" s="94" t="s">
        <v>0</v>
      </c>
      <c r="E51" s="94" t="s">
        <v>322</v>
      </c>
      <c r="F51" s="94" t="s">
        <v>323</v>
      </c>
      <c r="G51" s="2"/>
      <c r="H51" s="2"/>
      <c r="I51" s="2"/>
      <c r="J51" s="2"/>
      <c r="K51" s="2"/>
      <c r="L51" s="2"/>
      <c r="M51" s="2"/>
      <c r="N51" s="2"/>
      <c r="O51" s="2"/>
      <c r="P51" s="2"/>
      <c r="Q51" s="2"/>
      <c r="R51" s="2"/>
      <c r="S51" s="2"/>
      <c r="T51" s="2"/>
      <c r="U51" s="2"/>
      <c r="V51" s="2"/>
      <c r="W51" s="2"/>
      <c r="X51" s="2"/>
      <c r="Y51" s="2"/>
      <c r="Z51" s="2"/>
      <c r="AA51" s="2"/>
    </row>
    <row r="52" spans="1:27" ht="28">
      <c r="A52" s="2"/>
      <c r="B52" s="98">
        <v>1</v>
      </c>
      <c r="C52" s="69" t="str">
        <f>IF(D52="","",INDEX('Scoring Engine'!$A$4:$A$13,MATCH(D52,'Scoring Engine'!$B$4:$B$13,0)))</f>
        <v>Strategy &amp; Vision</v>
      </c>
      <c r="D52" s="69">
        <f>IF(COUNT('Scoring Engine'!$B$4:$B$13)&gt;=1,LARGE('Scoring Engine'!$B$4:$B$13,1),"")</f>
        <v>2</v>
      </c>
      <c r="E52" s="69" t="str">
        <f>IF(C52="","",VLOOKUP(C52,'Domain Recommendation Library'!$B$7:$C$16,2,FALSE))</f>
        <v>Develop and approve an enterprise AI strategy and roadmap.</v>
      </c>
      <c r="F52" s="69" t="str">
        <f>"Lower Priority (6–12 Months)"</f>
        <v>Lower Priority (6–12 Months)</v>
      </c>
      <c r="G52" s="2"/>
      <c r="H52" s="2"/>
      <c r="I52" s="2"/>
      <c r="J52" s="2"/>
      <c r="K52" s="2"/>
      <c r="L52" s="2"/>
      <c r="M52" s="2"/>
      <c r="N52" s="2"/>
      <c r="O52" s="2"/>
      <c r="P52" s="2"/>
      <c r="Q52" s="2"/>
      <c r="R52" s="2"/>
      <c r="S52" s="2"/>
      <c r="T52" s="2"/>
      <c r="U52" s="2"/>
      <c r="V52" s="2"/>
      <c r="W52" s="2"/>
      <c r="X52" s="2"/>
      <c r="Y52" s="2"/>
      <c r="Z52" s="2"/>
      <c r="AA52" s="2"/>
    </row>
    <row r="53" spans="1:27" ht="28">
      <c r="A53" s="2"/>
      <c r="B53" s="98">
        <v>2</v>
      </c>
      <c r="C53" s="69" t="str">
        <f>IF(D53="","",INDEX('Scoring Engine'!$A$4:$A$13,MATCH(D53,'Scoring Engine'!$B$4:$B$13,0)))</f>
        <v>Workforce &amp; Skills</v>
      </c>
      <c r="D53" s="69">
        <f>IF(COUNT('Scoring Engine'!$B$4:$B$13)&gt;=2,LARGE('Scoring Engine'!$B$4:$B$13,2),"")</f>
        <v>1</v>
      </c>
      <c r="E53" s="69" t="str">
        <f>IF(C53="","",VLOOKUP(C53,'Domain Recommendation Library'!$B$7:$C$16,2,FALSE))</f>
        <v>Establish AI literacy and capability development programmes.</v>
      </c>
      <c r="F53" s="69" t="str">
        <f t="shared" ref="F53:F54" si="2">"Lower Priority (6–12 Months)"</f>
        <v>Lower Priority (6–12 Months)</v>
      </c>
      <c r="G53" s="2"/>
      <c r="H53" s="2"/>
      <c r="I53" s="2"/>
      <c r="J53" s="2"/>
      <c r="K53" s="2"/>
      <c r="L53" s="2"/>
      <c r="M53" s="2"/>
      <c r="N53" s="2"/>
      <c r="O53" s="2"/>
      <c r="P53" s="2"/>
      <c r="Q53" s="2"/>
      <c r="R53" s="2"/>
      <c r="S53" s="2"/>
      <c r="T53" s="2"/>
      <c r="U53" s="2"/>
      <c r="V53" s="2"/>
      <c r="W53" s="2"/>
      <c r="X53" s="2"/>
      <c r="Y53" s="2"/>
      <c r="Z53" s="2"/>
      <c r="AA53" s="2"/>
    </row>
    <row r="54" spans="1:27">
      <c r="A54" s="2"/>
      <c r="B54" s="98">
        <v>3</v>
      </c>
      <c r="C54" s="69" t="str">
        <f>IF(D54="","",INDEX('Scoring Engine'!$A$4:$A$13,MATCH(D54,'Scoring Engine'!$B$4:$B$13,0)))</f>
        <v/>
      </c>
      <c r="D54" s="69" t="str">
        <f>IF(COUNT('Scoring Engine'!$B$4:$B$13)&gt;=3,LARGE('Scoring Engine'!$B$4:$B$13,3),"")</f>
        <v/>
      </c>
      <c r="E54" s="69" t="str">
        <f>IF(C54="","",VLOOKUP(C54,'Domain Recommendation Library'!$B$7:$C$16,2,FALSE))</f>
        <v/>
      </c>
      <c r="F54" s="69" t="str">
        <f t="shared" si="2"/>
        <v>Lower Priority (6–12 Months)</v>
      </c>
      <c r="G54" s="2"/>
      <c r="H54" s="2"/>
      <c r="I54" s="2"/>
      <c r="J54" s="2"/>
      <c r="K54" s="2"/>
      <c r="L54" s="2"/>
      <c r="M54" s="2"/>
      <c r="N54" s="2"/>
      <c r="O54" s="2"/>
      <c r="P54" s="2"/>
      <c r="Q54" s="2"/>
      <c r="R54" s="2"/>
      <c r="S54" s="2"/>
      <c r="T54" s="2"/>
      <c r="U54" s="2"/>
      <c r="V54" s="2"/>
      <c r="W54" s="2"/>
      <c r="X54" s="2"/>
      <c r="Y54" s="2"/>
      <c r="Z54" s="2"/>
      <c r="AA54" s="2"/>
    </row>
    <row r="55" spans="1:27">
      <c r="A55" s="2"/>
      <c r="B55" s="10"/>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10"/>
      <c r="C56" s="2"/>
      <c r="D56" s="2"/>
      <c r="E56" s="2"/>
      <c r="F56" s="2"/>
      <c r="G56" s="2"/>
      <c r="H56" s="2"/>
      <c r="I56" s="2"/>
      <c r="J56" s="2"/>
      <c r="K56" s="2"/>
      <c r="L56" s="2"/>
      <c r="M56" s="2"/>
      <c r="N56" s="2"/>
      <c r="O56" s="2"/>
      <c r="P56" s="2"/>
      <c r="Q56" s="2"/>
      <c r="R56" s="2"/>
      <c r="S56" s="2"/>
      <c r="T56" s="2"/>
      <c r="U56" s="2"/>
      <c r="V56" s="2"/>
      <c r="W56" s="2"/>
      <c r="X56" s="2"/>
      <c r="Y56" s="2"/>
      <c r="Z56" s="2"/>
      <c r="AA56" s="2"/>
    </row>
    <row r="57" spans="1:27" hidden="1">
      <c r="A57" s="2"/>
      <c r="B57" s="10"/>
      <c r="C57" s="2"/>
      <c r="D57" s="2"/>
      <c r="E57" s="2"/>
      <c r="F57" s="2"/>
      <c r="G57" s="2"/>
      <c r="H57" s="2"/>
      <c r="I57" s="2"/>
      <c r="J57" s="2"/>
      <c r="K57" s="2"/>
      <c r="L57" s="2"/>
      <c r="M57" s="2"/>
      <c r="N57" s="2"/>
      <c r="O57" s="2"/>
      <c r="P57" s="2"/>
      <c r="Q57" s="2"/>
      <c r="R57" s="2"/>
      <c r="S57" s="2"/>
      <c r="T57" s="2"/>
      <c r="U57" s="2"/>
      <c r="V57" s="2"/>
      <c r="W57" s="2"/>
      <c r="X57" s="2"/>
      <c r="Y57" s="2"/>
      <c r="Z57" s="2"/>
      <c r="AA57" s="2"/>
    </row>
    <row r="58" spans="1:27" hidden="1">
      <c r="A58" s="2"/>
      <c r="B58" s="10"/>
      <c r="C58" s="2"/>
      <c r="D58" s="2"/>
      <c r="E58" s="2"/>
      <c r="F58" s="2"/>
      <c r="G58" s="2"/>
      <c r="H58" s="2"/>
      <c r="I58" s="2"/>
      <c r="J58" s="2"/>
      <c r="K58" s="2"/>
      <c r="L58" s="2"/>
      <c r="M58" s="2"/>
      <c r="N58" s="2"/>
      <c r="O58" s="2"/>
      <c r="P58" s="2"/>
      <c r="Q58" s="2"/>
      <c r="R58" s="2"/>
      <c r="S58" s="2"/>
      <c r="T58" s="2"/>
      <c r="U58" s="2"/>
      <c r="V58" s="2"/>
      <c r="W58" s="2"/>
      <c r="X58" s="2"/>
      <c r="Y58" s="2"/>
      <c r="Z58" s="2"/>
      <c r="AA58" s="2"/>
    </row>
    <row r="59" spans="1:27" hidden="1">
      <c r="A59" s="2"/>
      <c r="B59" s="10"/>
      <c r="C59" s="2"/>
      <c r="D59" s="2"/>
      <c r="E59" s="2"/>
      <c r="F59" s="2"/>
      <c r="G59" s="2"/>
      <c r="H59" s="2"/>
      <c r="I59" s="2"/>
      <c r="J59" s="2"/>
      <c r="K59" s="2"/>
      <c r="L59" s="2"/>
      <c r="M59" s="2"/>
      <c r="N59" s="2"/>
      <c r="O59" s="2"/>
      <c r="P59" s="2"/>
      <c r="Q59" s="2"/>
      <c r="R59" s="2"/>
      <c r="S59" s="2"/>
      <c r="T59" s="2"/>
      <c r="U59" s="2"/>
      <c r="V59" s="2"/>
      <c r="W59" s="2"/>
      <c r="X59" s="2"/>
      <c r="Y59" s="2"/>
      <c r="Z59" s="2"/>
      <c r="AA59" s="2"/>
    </row>
    <row r="60" spans="1:27" hidden="1">
      <c r="A60" s="2"/>
      <c r="B60" s="10"/>
      <c r="C60" s="2"/>
      <c r="D60" s="2"/>
      <c r="E60" s="2"/>
      <c r="F60" s="2"/>
      <c r="G60" s="2"/>
      <c r="H60" s="2"/>
      <c r="I60" s="2"/>
      <c r="J60" s="2"/>
      <c r="K60" s="2"/>
      <c r="L60" s="2"/>
      <c r="M60" s="2"/>
      <c r="N60" s="2"/>
      <c r="O60" s="2"/>
      <c r="P60" s="2"/>
      <c r="Q60" s="2"/>
      <c r="R60" s="2"/>
      <c r="S60" s="2"/>
      <c r="T60" s="2"/>
      <c r="U60" s="2"/>
      <c r="V60" s="2"/>
      <c r="W60" s="2"/>
      <c r="X60" s="2"/>
      <c r="Y60" s="2"/>
      <c r="Z60" s="2"/>
      <c r="AA60" s="2"/>
    </row>
    <row r="61" spans="1:27" hidden="1">
      <c r="A61" s="2"/>
      <c r="B61" s="10"/>
      <c r="C61" s="2"/>
      <c r="D61" s="2"/>
      <c r="E61" s="2"/>
      <c r="F61" s="2"/>
      <c r="G61" s="2"/>
      <c r="H61" s="2"/>
      <c r="I61" s="2"/>
      <c r="J61" s="2"/>
      <c r="K61" s="2"/>
      <c r="L61" s="2"/>
      <c r="M61" s="2"/>
      <c r="N61" s="2"/>
      <c r="O61" s="2"/>
      <c r="P61" s="2"/>
      <c r="Q61" s="2"/>
      <c r="R61" s="2"/>
      <c r="S61" s="2"/>
      <c r="T61" s="2"/>
      <c r="U61" s="2"/>
      <c r="V61" s="2"/>
      <c r="W61" s="2"/>
      <c r="X61" s="2"/>
      <c r="Y61" s="2"/>
      <c r="Z61" s="2"/>
      <c r="AA61" s="2"/>
    </row>
    <row r="62" spans="1:27" hidden="1">
      <c r="A62" s="2"/>
      <c r="B62" s="10"/>
      <c r="C62" s="2"/>
      <c r="D62" s="2"/>
      <c r="E62" s="2"/>
      <c r="F62" s="2"/>
      <c r="G62" s="2"/>
      <c r="H62" s="2"/>
      <c r="I62" s="2"/>
      <c r="J62" s="2"/>
      <c r="K62" s="2"/>
      <c r="L62" s="2"/>
      <c r="M62" s="2"/>
      <c r="N62" s="2"/>
      <c r="O62" s="2"/>
      <c r="P62" s="2"/>
      <c r="Q62" s="2"/>
      <c r="R62" s="2"/>
      <c r="S62" s="2"/>
      <c r="T62" s="2"/>
      <c r="U62" s="2"/>
      <c r="V62" s="2"/>
      <c r="W62" s="2"/>
      <c r="X62" s="2"/>
      <c r="Y62" s="2"/>
      <c r="Z62" s="2"/>
      <c r="AA62" s="2"/>
    </row>
    <row r="63" spans="1:27" hidden="1">
      <c r="A63" s="2"/>
      <c r="B63" s="10"/>
      <c r="C63" s="2"/>
      <c r="D63" s="2"/>
      <c r="E63" s="2"/>
      <c r="F63" s="2"/>
      <c r="G63" s="2"/>
      <c r="H63" s="2"/>
      <c r="I63" s="2"/>
      <c r="J63" s="2"/>
      <c r="K63" s="2"/>
      <c r="L63" s="2"/>
      <c r="M63" s="2"/>
      <c r="N63" s="2"/>
      <c r="O63" s="2"/>
      <c r="P63" s="2"/>
      <c r="Q63" s="2"/>
      <c r="R63" s="2"/>
      <c r="S63" s="2"/>
      <c r="T63" s="2"/>
      <c r="U63" s="2"/>
      <c r="V63" s="2"/>
      <c r="W63" s="2"/>
      <c r="X63" s="2"/>
      <c r="Y63" s="2"/>
      <c r="Z63" s="2"/>
      <c r="AA63" s="2"/>
    </row>
    <row r="64" spans="1:27" hidden="1">
      <c r="A64" s="2"/>
      <c r="B64" s="10"/>
      <c r="C64" s="2"/>
      <c r="D64" s="2"/>
      <c r="E64" s="2"/>
      <c r="F64" s="2"/>
      <c r="G64" s="2"/>
      <c r="H64" s="2"/>
      <c r="I64" s="2"/>
      <c r="J64" s="2"/>
      <c r="K64" s="2"/>
      <c r="L64" s="2"/>
      <c r="M64" s="2"/>
      <c r="N64" s="2"/>
      <c r="O64" s="2"/>
      <c r="P64" s="2"/>
      <c r="Q64" s="2"/>
      <c r="R64" s="2"/>
      <c r="S64" s="2"/>
      <c r="T64" s="2"/>
      <c r="U64" s="2"/>
      <c r="V64" s="2"/>
      <c r="W64" s="2"/>
      <c r="X64" s="2"/>
      <c r="Y64" s="2"/>
      <c r="Z64" s="2"/>
      <c r="AA64" s="2"/>
    </row>
    <row r="65" spans="1:27" hidden="1">
      <c r="A65" s="2"/>
      <c r="B65" s="10"/>
      <c r="C65" s="2"/>
      <c r="D65" s="2"/>
      <c r="E65" s="2"/>
      <c r="F65" s="2"/>
      <c r="G65" s="2"/>
      <c r="H65" s="2"/>
      <c r="I65" s="2"/>
      <c r="J65" s="2"/>
      <c r="K65" s="2"/>
      <c r="L65" s="2"/>
      <c r="M65" s="2"/>
      <c r="N65" s="2"/>
      <c r="O65" s="2"/>
      <c r="P65" s="2"/>
      <c r="Q65" s="2"/>
      <c r="R65" s="2"/>
      <c r="S65" s="2"/>
      <c r="T65" s="2"/>
      <c r="U65" s="2"/>
      <c r="V65" s="2"/>
      <c r="W65" s="2"/>
      <c r="X65" s="2"/>
      <c r="Y65" s="2"/>
      <c r="Z65" s="2"/>
      <c r="AA65" s="2"/>
    </row>
    <row r="66" spans="1:27" hidden="1">
      <c r="A66" s="2"/>
      <c r="B66" s="10"/>
      <c r="C66" s="2"/>
      <c r="D66" s="2"/>
      <c r="E66" s="2"/>
      <c r="F66" s="2"/>
      <c r="G66" s="2"/>
      <c r="H66" s="2"/>
      <c r="I66" s="2"/>
      <c r="J66" s="2"/>
      <c r="K66" s="2"/>
      <c r="L66" s="2"/>
      <c r="M66" s="2"/>
      <c r="N66" s="2"/>
      <c r="O66" s="2"/>
      <c r="P66" s="2"/>
      <c r="Q66" s="2"/>
      <c r="R66" s="2"/>
      <c r="S66" s="2"/>
      <c r="T66" s="2"/>
      <c r="U66" s="2"/>
      <c r="V66" s="2"/>
      <c r="W66" s="2"/>
      <c r="X66" s="2"/>
      <c r="Y66" s="2"/>
      <c r="Z66" s="2"/>
      <c r="AA66" s="2"/>
    </row>
    <row r="67" spans="1:27" hidden="1">
      <c r="A67" s="2"/>
      <c r="B67" s="10"/>
      <c r="C67" s="2"/>
      <c r="D67" s="2"/>
      <c r="E67" s="2"/>
      <c r="F67" s="2"/>
      <c r="G67" s="2"/>
      <c r="H67" s="2"/>
      <c r="I67" s="2"/>
      <c r="J67" s="2"/>
      <c r="K67" s="2"/>
      <c r="L67" s="2"/>
      <c r="M67" s="2"/>
      <c r="N67" s="2"/>
      <c r="O67" s="2"/>
      <c r="P67" s="2"/>
      <c r="Q67" s="2"/>
      <c r="R67" s="2"/>
      <c r="S67" s="2"/>
      <c r="T67" s="2"/>
      <c r="U67" s="2"/>
      <c r="V67" s="2"/>
      <c r="W67" s="2"/>
      <c r="X67" s="2"/>
      <c r="Y67" s="2"/>
      <c r="Z67" s="2"/>
      <c r="AA67" s="2"/>
    </row>
    <row r="68" spans="1:27" hidden="1">
      <c r="A68" s="2"/>
      <c r="B68" s="10"/>
      <c r="C68" s="2"/>
      <c r="D68" s="2"/>
      <c r="E68" s="2"/>
      <c r="F68" s="2"/>
      <c r="G68" s="2"/>
      <c r="H68" s="2"/>
      <c r="I68" s="2"/>
      <c r="J68" s="2"/>
      <c r="K68" s="2"/>
      <c r="L68" s="2"/>
      <c r="M68" s="2"/>
      <c r="N68" s="2"/>
      <c r="O68" s="2"/>
      <c r="P68" s="2"/>
      <c r="Q68" s="2"/>
      <c r="R68" s="2"/>
      <c r="S68" s="2"/>
      <c r="T68" s="2"/>
      <c r="U68" s="2"/>
      <c r="V68" s="2"/>
      <c r="W68" s="2"/>
      <c r="X68" s="2"/>
      <c r="Y68" s="2"/>
      <c r="Z68" s="2"/>
      <c r="AA68" s="2"/>
    </row>
    <row r="69" spans="1:27" hidden="1">
      <c r="A69" s="2"/>
      <c r="B69" s="10"/>
      <c r="C69" s="2"/>
      <c r="D69" s="2"/>
      <c r="E69" s="2"/>
      <c r="F69" s="2"/>
      <c r="G69" s="2"/>
      <c r="H69" s="2"/>
      <c r="I69" s="2"/>
      <c r="J69" s="2"/>
      <c r="K69" s="2"/>
      <c r="L69" s="2"/>
      <c r="M69" s="2"/>
      <c r="N69" s="2"/>
      <c r="O69" s="2"/>
      <c r="P69" s="2"/>
      <c r="Q69" s="2"/>
      <c r="R69" s="2"/>
      <c r="S69" s="2"/>
      <c r="T69" s="2"/>
      <c r="U69" s="2"/>
      <c r="V69" s="2"/>
      <c r="W69" s="2"/>
      <c r="X69" s="2"/>
      <c r="Y69" s="2"/>
      <c r="Z69" s="2"/>
      <c r="AA69" s="2"/>
    </row>
    <row r="70" spans="1:27" hidden="1">
      <c r="A70" s="2"/>
      <c r="B70" s="10"/>
      <c r="C70" s="2"/>
      <c r="D70" s="2"/>
      <c r="E70" s="2"/>
      <c r="F70" s="2"/>
      <c r="G70" s="2"/>
      <c r="H70" s="2"/>
      <c r="I70" s="2"/>
      <c r="J70" s="2"/>
      <c r="K70" s="2"/>
      <c r="L70" s="2"/>
      <c r="M70" s="2"/>
      <c r="N70" s="2"/>
      <c r="O70" s="2"/>
      <c r="P70" s="2"/>
      <c r="Q70" s="2"/>
      <c r="R70" s="2"/>
      <c r="S70" s="2"/>
      <c r="T70" s="2"/>
      <c r="U70" s="2"/>
      <c r="V70" s="2"/>
      <c r="W70" s="2"/>
      <c r="X70" s="2"/>
      <c r="Y70" s="2"/>
      <c r="Z70" s="2"/>
      <c r="AA70" s="2"/>
    </row>
    <row r="71" spans="1:27" hidden="1">
      <c r="A71" s="2"/>
      <c r="B71" s="10"/>
      <c r="C71" s="2"/>
      <c r="D71" s="2"/>
      <c r="E71" s="2"/>
      <c r="F71" s="2"/>
      <c r="G71" s="2"/>
      <c r="H71" s="2"/>
      <c r="I71" s="2"/>
      <c r="J71" s="2"/>
      <c r="K71" s="2"/>
      <c r="L71" s="2"/>
      <c r="M71" s="2"/>
      <c r="N71" s="2"/>
      <c r="O71" s="2"/>
      <c r="P71" s="2"/>
      <c r="Q71" s="2"/>
      <c r="R71" s="2"/>
      <c r="S71" s="2"/>
      <c r="T71" s="2"/>
      <c r="U71" s="2"/>
      <c r="V71" s="2"/>
      <c r="W71" s="2"/>
      <c r="X71" s="2"/>
      <c r="Y71" s="2"/>
      <c r="Z71" s="2"/>
      <c r="AA71" s="2"/>
    </row>
    <row r="72" spans="1:27" hidden="1">
      <c r="A72" s="2"/>
      <c r="B72" s="10"/>
      <c r="C72" s="2"/>
      <c r="D72" s="2"/>
      <c r="E72" s="2"/>
      <c r="F72" s="2"/>
      <c r="G72" s="2"/>
      <c r="H72" s="2"/>
      <c r="I72" s="2"/>
      <c r="J72" s="2"/>
      <c r="K72" s="2"/>
      <c r="L72" s="2"/>
      <c r="M72" s="2"/>
      <c r="N72" s="2"/>
      <c r="O72" s="2"/>
      <c r="P72" s="2"/>
      <c r="Q72" s="2"/>
      <c r="R72" s="2"/>
      <c r="S72" s="2"/>
      <c r="T72" s="2"/>
      <c r="U72" s="2"/>
      <c r="V72" s="2"/>
      <c r="W72" s="2"/>
      <c r="X72" s="2"/>
      <c r="Y72" s="2"/>
      <c r="Z72" s="2"/>
      <c r="AA72" s="2"/>
    </row>
  </sheetData>
  <mergeCells count="2">
    <mergeCell ref="A1:G1"/>
    <mergeCell ref="C12:F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9"/>
  <sheetViews>
    <sheetView showGridLines="0" topLeftCell="A18" zoomScale="81" workbookViewId="0">
      <selection activeCell="A29" sqref="A29:H33"/>
    </sheetView>
  </sheetViews>
  <sheetFormatPr defaultColWidth="0" defaultRowHeight="14"/>
  <cols>
    <col min="1" max="1" width="25" customWidth="1"/>
    <col min="2" max="2" width="26.6640625" customWidth="1"/>
    <col min="3" max="3" width="55" customWidth="1"/>
    <col min="4" max="4" width="18" customWidth="1"/>
    <col min="5" max="5" width="40" customWidth="1"/>
    <col min="6" max="6" width="25" customWidth="1"/>
    <col min="7" max="8" width="14" customWidth="1"/>
    <col min="9" max="9" width="8.6640625" customWidth="1"/>
    <col min="10" max="26" width="0" hidden="1" customWidth="1"/>
    <col min="27" max="16384" width="8.6640625" hidden="1"/>
  </cols>
  <sheetData>
    <row r="1" spans="1:26" ht="20">
      <c r="A1" s="122" t="s">
        <v>21</v>
      </c>
      <c r="B1" s="124"/>
      <c r="C1" s="124"/>
      <c r="D1" s="124"/>
      <c r="E1" s="124"/>
      <c r="F1" s="124"/>
      <c r="G1" s="124"/>
      <c r="H1" s="124"/>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c r="A3" s="3" t="s">
        <v>22</v>
      </c>
      <c r="B3" s="107"/>
      <c r="C3" s="2"/>
      <c r="D3" s="2"/>
      <c r="E3" s="2"/>
      <c r="F3" s="2"/>
      <c r="G3" s="2"/>
      <c r="H3" s="2"/>
      <c r="I3" s="2"/>
      <c r="J3" s="2"/>
      <c r="K3" s="2"/>
      <c r="L3" s="2"/>
      <c r="M3" s="2"/>
      <c r="N3" s="2"/>
      <c r="O3" s="2"/>
      <c r="P3" s="2"/>
      <c r="Q3" s="2"/>
      <c r="R3" s="2"/>
      <c r="S3" s="2"/>
      <c r="T3" s="2"/>
      <c r="U3" s="2"/>
      <c r="V3" s="2"/>
      <c r="W3" s="2"/>
      <c r="X3" s="2"/>
      <c r="Y3" s="2"/>
      <c r="Z3" s="2"/>
    </row>
    <row r="4" spans="1:26">
      <c r="A4" s="3" t="s">
        <v>23</v>
      </c>
      <c r="B4" s="106">
        <f>'AI Readiness Assessment'!D4</f>
        <v>0</v>
      </c>
      <c r="C4" s="2"/>
      <c r="D4" s="2"/>
      <c r="E4" s="2"/>
      <c r="F4" s="2"/>
      <c r="G4" s="2"/>
      <c r="H4" s="2"/>
      <c r="I4" s="2"/>
      <c r="J4" s="2"/>
      <c r="K4" s="2"/>
      <c r="L4" s="2"/>
      <c r="M4" s="2"/>
      <c r="N4" s="2"/>
      <c r="O4" s="2"/>
      <c r="P4" s="2"/>
      <c r="Q4" s="2"/>
      <c r="R4" s="2"/>
      <c r="S4" s="2"/>
      <c r="T4" s="2"/>
      <c r="U4" s="2"/>
      <c r="V4" s="2"/>
      <c r="W4" s="2"/>
      <c r="X4" s="2"/>
      <c r="Y4" s="2"/>
      <c r="Z4" s="2"/>
    </row>
    <row r="5" spans="1:26" s="1" customFormat="1">
      <c r="A5" s="3" t="s">
        <v>32</v>
      </c>
      <c r="B5" s="106">
        <f>'AI Readiness Assessment'!E4</f>
        <v>0</v>
      </c>
      <c r="C5" s="2"/>
      <c r="D5" s="2"/>
      <c r="E5" s="2"/>
      <c r="F5" s="10"/>
      <c r="G5" s="10"/>
      <c r="H5" s="10"/>
      <c r="I5" s="10"/>
      <c r="J5" s="10"/>
      <c r="K5" s="10"/>
      <c r="L5" s="10"/>
      <c r="M5" s="10"/>
      <c r="N5" s="10"/>
      <c r="O5" s="10"/>
      <c r="P5" s="10"/>
      <c r="Q5" s="10"/>
      <c r="R5" s="10"/>
      <c r="S5" s="10"/>
      <c r="T5" s="10"/>
      <c r="U5" s="10"/>
      <c r="V5" s="10"/>
      <c r="W5" s="10"/>
      <c r="X5" s="10"/>
      <c r="Y5" s="10"/>
      <c r="Z5" s="10"/>
    </row>
    <row r="6" spans="1:26" s="1" customFormat="1">
      <c r="A6" s="3" t="s">
        <v>33</v>
      </c>
      <c r="B6" s="107"/>
      <c r="C6" s="2"/>
      <c r="D6" s="2"/>
      <c r="E6" s="2"/>
      <c r="F6" s="10"/>
      <c r="G6" s="10"/>
      <c r="H6" s="10"/>
      <c r="I6" s="10"/>
      <c r="J6" s="10"/>
      <c r="K6" s="10"/>
      <c r="L6" s="10"/>
      <c r="M6" s="10"/>
      <c r="N6" s="10"/>
      <c r="O6" s="10"/>
      <c r="P6" s="10"/>
      <c r="Q6" s="10"/>
      <c r="R6" s="10"/>
      <c r="S6" s="10"/>
      <c r="T6" s="10"/>
      <c r="U6" s="10"/>
      <c r="V6" s="10"/>
      <c r="W6" s="10"/>
      <c r="X6" s="10"/>
      <c r="Y6" s="10"/>
      <c r="Z6" s="10"/>
    </row>
    <row r="7" spans="1:26">
      <c r="F7" s="2"/>
      <c r="G7" s="2"/>
      <c r="H7" s="2"/>
      <c r="I7" s="2"/>
      <c r="J7" s="2"/>
      <c r="K7" s="2"/>
      <c r="L7" s="2"/>
      <c r="M7" s="2"/>
      <c r="N7" s="2"/>
      <c r="O7" s="2"/>
      <c r="P7" s="2"/>
      <c r="Q7" s="2"/>
      <c r="R7" s="2"/>
      <c r="S7" s="2"/>
      <c r="T7" s="2"/>
      <c r="U7" s="2"/>
      <c r="V7" s="2"/>
      <c r="W7" s="2"/>
      <c r="X7" s="2"/>
      <c r="Y7" s="2"/>
      <c r="Z7" s="2"/>
    </row>
    <row r="8" spans="1:26">
      <c r="F8" s="2"/>
      <c r="G8" s="2"/>
      <c r="H8" s="2"/>
      <c r="I8" s="2"/>
      <c r="J8" s="2"/>
      <c r="K8" s="2"/>
      <c r="L8" s="2"/>
      <c r="M8" s="2"/>
      <c r="N8" s="2"/>
      <c r="O8" s="2"/>
      <c r="P8" s="2"/>
      <c r="Q8" s="2"/>
      <c r="R8" s="2"/>
      <c r="S8" s="2"/>
      <c r="T8" s="2"/>
      <c r="U8" s="2"/>
      <c r="V8" s="2"/>
      <c r="W8" s="2"/>
      <c r="X8" s="2"/>
      <c r="Y8" s="2"/>
      <c r="Z8" s="2"/>
    </row>
    <row r="9" spans="1:26" s="110" customFormat="1">
      <c r="A9" s="108"/>
      <c r="B9" s="108"/>
      <c r="D9" s="108"/>
      <c r="E9" s="108"/>
      <c r="F9" s="109"/>
      <c r="G9" s="109"/>
      <c r="H9" s="109"/>
      <c r="I9" s="109"/>
      <c r="J9" s="109"/>
      <c r="K9" s="109"/>
      <c r="L9" s="109"/>
      <c r="M9" s="109"/>
      <c r="N9" s="109"/>
      <c r="O9" s="109"/>
      <c r="P9" s="109"/>
      <c r="Q9" s="109"/>
      <c r="R9" s="109"/>
      <c r="S9" s="109"/>
      <c r="T9" s="109"/>
      <c r="U9" s="109"/>
      <c r="V9" s="109"/>
      <c r="W9" s="109"/>
      <c r="X9" s="109"/>
      <c r="Y9" s="109"/>
      <c r="Z9" s="109"/>
    </row>
    <row r="10" spans="1:26" s="110" customFormat="1" ht="14.5" thickBot="1">
      <c r="A10" s="108"/>
      <c r="B10" s="111"/>
      <c r="C10" s="111"/>
      <c r="D10" s="108"/>
      <c r="E10" s="108"/>
      <c r="F10" s="109"/>
      <c r="G10" s="109"/>
      <c r="H10" s="109"/>
      <c r="I10" s="109"/>
      <c r="J10" s="109"/>
      <c r="K10" s="109"/>
      <c r="L10" s="109"/>
      <c r="M10" s="109"/>
      <c r="N10" s="109"/>
      <c r="O10" s="109"/>
      <c r="P10" s="109"/>
      <c r="Q10" s="109"/>
      <c r="R10" s="109"/>
      <c r="S10" s="109"/>
      <c r="T10" s="109"/>
      <c r="U10" s="109"/>
      <c r="V10" s="109"/>
      <c r="W10" s="109"/>
      <c r="X10" s="109"/>
      <c r="Y10" s="109"/>
      <c r="Z10" s="109"/>
    </row>
    <row r="11" spans="1:26" s="110" customFormat="1" ht="15.5">
      <c r="A11" s="108"/>
      <c r="B11" s="115" t="s">
        <v>199</v>
      </c>
      <c r="C11" s="112">
        <f>'Scoring Engine'!B14</f>
        <v>1.5</v>
      </c>
      <c r="D11" s="108"/>
      <c r="E11" s="108"/>
      <c r="F11" s="109"/>
      <c r="G11" s="109"/>
      <c r="H11" s="109"/>
      <c r="I11" s="109"/>
      <c r="J11" s="109"/>
      <c r="K11" s="109"/>
      <c r="L11" s="109"/>
      <c r="M11" s="109"/>
      <c r="N11" s="109"/>
      <c r="O11" s="109"/>
      <c r="P11" s="109"/>
      <c r="Q11" s="109"/>
      <c r="R11" s="109"/>
      <c r="S11" s="109"/>
      <c r="T11" s="109"/>
      <c r="U11" s="109"/>
      <c r="V11" s="109"/>
      <c r="W11" s="109"/>
      <c r="X11" s="109"/>
      <c r="Y11" s="109"/>
      <c r="Z11" s="109"/>
    </row>
    <row r="12" spans="1:26" s="110" customFormat="1" ht="15.5">
      <c r="A12" s="108"/>
      <c r="B12" s="116" t="s">
        <v>200</v>
      </c>
      <c r="C12" s="113" t="str">
        <f>'Scoring Engine'!B15</f>
        <v>Initial</v>
      </c>
      <c r="D12" s="108"/>
      <c r="E12" s="108"/>
      <c r="F12" s="109"/>
      <c r="G12" s="109"/>
      <c r="H12" s="109"/>
      <c r="I12" s="109"/>
      <c r="J12" s="109"/>
      <c r="K12" s="109"/>
      <c r="L12" s="109"/>
      <c r="M12" s="109"/>
      <c r="N12" s="109"/>
      <c r="O12" s="109"/>
      <c r="P12" s="109"/>
      <c r="Q12" s="109"/>
      <c r="R12" s="109"/>
      <c r="S12" s="109"/>
      <c r="T12" s="109"/>
      <c r="U12" s="109"/>
      <c r="V12" s="109"/>
      <c r="W12" s="109"/>
      <c r="X12" s="109"/>
      <c r="Y12" s="109"/>
      <c r="Z12" s="109"/>
    </row>
    <row r="13" spans="1:26" s="110" customFormat="1" ht="15.5">
      <c r="A13" s="108"/>
      <c r="B13" s="116" t="s">
        <v>346</v>
      </c>
      <c r="C13" s="113">
        <f>'Scoring Engine'!B17</f>
        <v>30</v>
      </c>
      <c r="D13" s="108"/>
      <c r="E13" s="108"/>
      <c r="F13" s="109"/>
      <c r="G13" s="109"/>
      <c r="H13" s="109"/>
      <c r="I13" s="109"/>
      <c r="J13" s="109"/>
      <c r="K13" s="109"/>
      <c r="L13" s="109"/>
      <c r="M13" s="109"/>
      <c r="N13" s="109"/>
      <c r="O13" s="109"/>
      <c r="P13" s="109"/>
      <c r="Q13" s="109"/>
      <c r="R13" s="109"/>
      <c r="S13" s="109"/>
      <c r="T13" s="109"/>
      <c r="U13" s="109"/>
      <c r="V13" s="109"/>
      <c r="W13" s="109"/>
      <c r="X13" s="109"/>
      <c r="Y13" s="109"/>
      <c r="Z13" s="109"/>
    </row>
    <row r="14" spans="1:26" s="110" customFormat="1" ht="16" thickBot="1">
      <c r="A14" s="108"/>
      <c r="B14" s="117" t="s">
        <v>201</v>
      </c>
      <c r="C14" s="114" t="str">
        <f>'Scoring Engine'!B16</f>
        <v>Critical Risk</v>
      </c>
      <c r="D14" s="108"/>
      <c r="E14" s="108"/>
      <c r="F14" s="109"/>
      <c r="G14" s="109"/>
      <c r="H14" s="109"/>
      <c r="I14" s="109"/>
      <c r="J14" s="109"/>
      <c r="K14" s="109"/>
      <c r="L14" s="109"/>
      <c r="M14" s="109"/>
      <c r="N14" s="109"/>
      <c r="O14" s="109"/>
      <c r="P14" s="109"/>
      <c r="Q14" s="109"/>
      <c r="R14" s="109"/>
      <c r="S14" s="109"/>
      <c r="T14" s="109"/>
      <c r="U14" s="109"/>
      <c r="V14" s="109"/>
      <c r="W14" s="109"/>
      <c r="X14" s="109"/>
      <c r="Y14" s="109"/>
      <c r="Z14" s="109"/>
    </row>
    <row r="15" spans="1:26" s="110" customFormat="1">
      <c r="A15" s="108"/>
      <c r="B15" s="108"/>
      <c r="D15" s="108"/>
      <c r="E15" s="108"/>
      <c r="F15" s="109"/>
      <c r="G15" s="109"/>
      <c r="H15" s="109"/>
      <c r="I15" s="109"/>
      <c r="J15" s="109"/>
      <c r="K15" s="109"/>
      <c r="L15" s="109"/>
      <c r="M15" s="109"/>
      <c r="N15" s="109"/>
      <c r="O15" s="109"/>
      <c r="P15" s="109"/>
      <c r="Q15" s="109"/>
      <c r="R15" s="109"/>
      <c r="S15" s="109"/>
      <c r="T15" s="109"/>
      <c r="U15" s="109"/>
      <c r="V15" s="109"/>
      <c r="W15" s="109"/>
      <c r="X15" s="109"/>
      <c r="Y15" s="109"/>
      <c r="Z15" s="109"/>
    </row>
    <row r="16" spans="1:26" s="110" customFormat="1">
      <c r="A16" s="108"/>
      <c r="B16" s="108"/>
      <c r="C16" s="108"/>
      <c r="D16" s="108"/>
      <c r="E16" s="108"/>
      <c r="F16" s="109"/>
      <c r="G16" s="109"/>
      <c r="H16" s="109"/>
      <c r="I16" s="109"/>
      <c r="J16" s="109"/>
      <c r="K16" s="109"/>
      <c r="L16" s="109"/>
      <c r="M16" s="109"/>
      <c r="N16" s="109"/>
      <c r="O16" s="109"/>
      <c r="P16" s="109"/>
      <c r="Q16" s="109"/>
      <c r="R16" s="109"/>
      <c r="S16" s="109"/>
      <c r="T16" s="109"/>
      <c r="U16" s="109"/>
      <c r="V16" s="109"/>
      <c r="W16" s="109"/>
      <c r="X16" s="109"/>
      <c r="Y16" s="109"/>
      <c r="Z16" s="109"/>
    </row>
    <row r="17" spans="1:26" s="9" customFormat="1">
      <c r="A17" s="7" t="s">
        <v>24</v>
      </c>
      <c r="B17" s="7" t="s">
        <v>25</v>
      </c>
      <c r="C17" s="8"/>
      <c r="D17" s="8"/>
      <c r="E17" s="8"/>
      <c r="F17" s="8"/>
      <c r="G17" s="8"/>
      <c r="H17" s="8"/>
      <c r="I17" s="8"/>
      <c r="J17" s="8"/>
      <c r="K17" s="8"/>
      <c r="L17" s="8"/>
      <c r="M17" s="8"/>
      <c r="N17" s="8"/>
      <c r="O17" s="8"/>
      <c r="P17" s="8"/>
      <c r="Q17" s="8"/>
      <c r="R17" s="8"/>
      <c r="S17" s="8"/>
      <c r="T17" s="8"/>
      <c r="U17" s="8"/>
      <c r="V17" s="8"/>
      <c r="W17" s="8"/>
      <c r="X17" s="8"/>
      <c r="Y17" s="8"/>
      <c r="Z17" s="8"/>
    </row>
    <row r="18" spans="1:26">
      <c r="A18" s="4" t="str">
        <f>INDEX('Scoring Engine'!$A$4:$A$13,MATCH(LARGE('Scoring Engine'!$B$4:$B$13,1),'Scoring Engine'!$B$4:$B$13,0))&amp;" ("&amp;TEXT(LARGE('Scoring Engine'!$B$4:$B$13,1),"0.00")&amp;")"</f>
        <v>Strategy &amp; Vision (2.00)</v>
      </c>
      <c r="B18" s="4" t="str">
        <f>INDEX('Scoring Engine'!$A$4:$A$13,MATCH(SMALL('Scoring Engine'!$B$4:$B$13,1),'Scoring Engine'!$B$4:$B$13,0))&amp;" ("&amp;TEXT(SMALL('Scoring Engine'!$B$4:$B$13,1),"0.00")&amp;")"</f>
        <v>Workforce &amp; Skills (1.00)</v>
      </c>
      <c r="C18" s="2"/>
      <c r="D18" s="2"/>
      <c r="E18" s="2"/>
      <c r="F18" s="2"/>
      <c r="G18" s="2"/>
      <c r="H18" s="2"/>
      <c r="I18" s="2"/>
      <c r="J18" s="2"/>
      <c r="K18" s="2"/>
      <c r="L18" s="2"/>
      <c r="M18" s="2"/>
      <c r="N18" s="2"/>
      <c r="O18" s="2"/>
      <c r="P18" s="2"/>
      <c r="Q18" s="2"/>
      <c r="R18" s="2"/>
      <c r="S18" s="2"/>
      <c r="T18" s="2"/>
      <c r="U18" s="2"/>
      <c r="V18" s="2"/>
      <c r="W18" s="2"/>
      <c r="X18" s="2"/>
      <c r="Y18" s="2"/>
      <c r="Z18" s="2"/>
    </row>
    <row r="19" spans="1:26">
      <c r="A19" s="4" t="str">
        <f>INDEX('Scoring Engine'!$A$4:$A$13,MATCH(LARGE('Scoring Engine'!$B$4:$B$13,2),'Scoring Engine'!$B$4:$B$13,0))&amp;" ("&amp;TEXT(LARGE('Scoring Engine'!$B$4:$B$13,2),"0.00")&amp;")"</f>
        <v>Workforce &amp; Skills (1.00)</v>
      </c>
      <c r="B19" s="4" t="str">
        <f>INDEX('Scoring Engine'!$A$4:$A$13,MATCH(SMALL('Scoring Engine'!$B$4:$B$13,2),'Scoring Engine'!$B$4:$B$13,0))&amp;" ("&amp;TEXT(SMALL('Scoring Engine'!$B$4:$B$13,2),"0.00")&amp;")"</f>
        <v>Strategy &amp; Vision (2.00)</v>
      </c>
      <c r="C19" s="2"/>
      <c r="D19" s="2"/>
      <c r="E19" s="2"/>
      <c r="F19" s="2"/>
      <c r="G19" s="2"/>
      <c r="H19" s="2"/>
      <c r="I19" s="2"/>
      <c r="J19" s="2"/>
      <c r="K19" s="2"/>
      <c r="L19" s="2"/>
      <c r="M19" s="2"/>
      <c r="N19" s="2"/>
      <c r="O19" s="2"/>
      <c r="P19" s="2"/>
      <c r="Q19" s="2"/>
      <c r="R19" s="2"/>
      <c r="S19" s="2"/>
      <c r="T19" s="2"/>
      <c r="U19" s="2"/>
      <c r="V19" s="2"/>
      <c r="W19" s="2"/>
      <c r="X19" s="2"/>
      <c r="Y19" s="2"/>
      <c r="Z19" s="2"/>
    </row>
    <row r="20" spans="1:26">
      <c r="A20" s="4" t="e">
        <f>INDEX('Scoring Engine'!$A$4:$A$13,MATCH(LARGE('Scoring Engine'!$B$4:$B$13,3),'Scoring Engine'!$B$4:$B$13,0))&amp;" ("&amp;TEXT(LARGE('Scoring Engine'!$B$4:$B$13,3),"0.00")&amp;")"</f>
        <v>#NUM!</v>
      </c>
      <c r="B20" s="4" t="e">
        <f>INDEX('Scoring Engine'!$A$4:$A$13,MATCH(SMALL('Scoring Engine'!$B$4:$B$13,3),'Scoring Engine'!$B$4:$B$13,0))&amp;" ("&amp;TEXT(SMALL('Scoring Engine'!$B$4:$B$13,3),"0.00")&amp;")"</f>
        <v>#NUM!</v>
      </c>
      <c r="C20" s="2"/>
      <c r="D20" s="2"/>
      <c r="E20" s="2"/>
      <c r="F20" s="2"/>
      <c r="G20" s="2"/>
      <c r="H20" s="2"/>
      <c r="I20" s="2"/>
      <c r="J20" s="2"/>
      <c r="K20" s="2"/>
      <c r="L20" s="2"/>
      <c r="M20" s="2"/>
      <c r="N20" s="2"/>
      <c r="O20" s="2"/>
      <c r="P20" s="2"/>
      <c r="Q20" s="2"/>
      <c r="R20" s="2"/>
      <c r="S20" s="2"/>
      <c r="T20" s="2"/>
      <c r="U20" s="2"/>
      <c r="V20" s="2"/>
      <c r="W20" s="2"/>
      <c r="X20" s="2"/>
      <c r="Y20" s="2"/>
      <c r="Z20" s="2"/>
    </row>
    <row r="21" spans="1:26">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s="119" customFormat="1">
      <c r="A22" s="143" t="s">
        <v>26</v>
      </c>
      <c r="B22" s="144"/>
      <c r="C22" s="144"/>
      <c r="D22" s="144"/>
      <c r="E22" s="144"/>
      <c r="F22" s="144"/>
      <c r="G22" s="144"/>
      <c r="H22" s="144"/>
      <c r="I22" s="118"/>
      <c r="J22" s="118"/>
      <c r="K22" s="118"/>
      <c r="L22" s="118"/>
      <c r="M22" s="118"/>
      <c r="N22" s="118"/>
      <c r="O22" s="118"/>
      <c r="P22" s="118"/>
      <c r="Q22" s="118"/>
      <c r="R22" s="118"/>
      <c r="S22" s="118"/>
      <c r="T22" s="118"/>
      <c r="U22" s="118"/>
      <c r="V22" s="118"/>
      <c r="W22" s="118"/>
      <c r="X22" s="118"/>
      <c r="Y22" s="118"/>
      <c r="Z22" s="118"/>
    </row>
    <row r="23" spans="1:26">
      <c r="A23" s="145" t="str">
        <f>IF('Scoring Engine'!B14&lt;3,"The organisation should prioritise core AI foundations before scaling enterprise use cases. Immediate focus should be on executive sponsorship, a documented AI strategy, governance ownership and policy development.",IF('Scoring Engine'!B14&lt;4,"The organisation has a developing AI readiness profile. Management should formalise controls, expand AI literacy, strengthen risk governance and accelerate technology enablement.","The organisation is positioned to scale AI adoption. Focus should shift to enterprise operating model maturity, executive dashboards, value realisation and continuous improvement."))</f>
        <v>The organisation should prioritise core AI foundations before scaling enterprise use cases. Immediate focus should be on executive sponsorship, a documented AI strategy, governance ownership and policy development.</v>
      </c>
      <c r="B23" s="124"/>
      <c r="C23" s="124"/>
      <c r="D23" s="124"/>
      <c r="E23" s="124"/>
      <c r="F23" s="124"/>
      <c r="G23" s="124"/>
      <c r="H23" s="124"/>
      <c r="I23" s="2"/>
      <c r="J23" s="2"/>
      <c r="K23" s="2"/>
      <c r="L23" s="2"/>
      <c r="M23" s="2"/>
      <c r="N23" s="2"/>
      <c r="O23" s="2"/>
      <c r="P23" s="2"/>
      <c r="Q23" s="2"/>
      <c r="R23" s="2"/>
      <c r="S23" s="2"/>
      <c r="T23" s="2"/>
      <c r="U23" s="2"/>
      <c r="V23" s="2"/>
      <c r="W23" s="2"/>
      <c r="X23" s="2"/>
      <c r="Y23" s="2"/>
      <c r="Z23" s="2"/>
    </row>
    <row r="24" spans="1:26">
      <c r="A24" s="124"/>
      <c r="B24" s="142"/>
      <c r="C24" s="142"/>
      <c r="D24" s="142"/>
      <c r="E24" s="142"/>
      <c r="F24" s="142"/>
      <c r="G24" s="142"/>
      <c r="H24" s="124"/>
      <c r="I24" s="2"/>
      <c r="J24" s="2"/>
      <c r="K24" s="2"/>
      <c r="L24" s="2"/>
      <c r="M24" s="2"/>
      <c r="N24" s="2"/>
      <c r="O24" s="2"/>
      <c r="P24" s="2"/>
      <c r="Q24" s="2"/>
      <c r="R24" s="2"/>
      <c r="S24" s="2"/>
      <c r="T24" s="2"/>
      <c r="U24" s="2"/>
      <c r="V24" s="2"/>
      <c r="W24" s="2"/>
      <c r="X24" s="2"/>
      <c r="Y24" s="2"/>
      <c r="Z24" s="2"/>
    </row>
    <row r="25" spans="1:26">
      <c r="A25" s="124"/>
      <c r="B25" s="142"/>
      <c r="C25" s="142"/>
      <c r="D25" s="142"/>
      <c r="E25" s="142"/>
      <c r="F25" s="142"/>
      <c r="G25" s="142"/>
      <c r="H25" s="124"/>
      <c r="I25" s="2"/>
      <c r="J25" s="2"/>
      <c r="K25" s="2"/>
      <c r="L25" s="2"/>
      <c r="M25" s="2"/>
      <c r="N25" s="2"/>
      <c r="O25" s="2"/>
      <c r="P25" s="2"/>
      <c r="Q25" s="2"/>
      <c r="R25" s="2"/>
      <c r="S25" s="2"/>
      <c r="T25" s="2"/>
      <c r="U25" s="2"/>
      <c r="V25" s="2"/>
      <c r="W25" s="2"/>
      <c r="X25" s="2"/>
      <c r="Y25" s="2"/>
      <c r="Z25" s="2"/>
    </row>
    <row r="26" spans="1:26">
      <c r="A26" s="124"/>
      <c r="B26" s="124"/>
      <c r="C26" s="124"/>
      <c r="D26" s="124"/>
      <c r="E26" s="124"/>
      <c r="F26" s="124"/>
      <c r="G26" s="124"/>
      <c r="H26" s="124"/>
      <c r="I26" s="2"/>
      <c r="J26" s="2"/>
      <c r="K26" s="2"/>
      <c r="L26" s="2"/>
      <c r="M26" s="2"/>
      <c r="N26" s="2"/>
      <c r="O26" s="2"/>
      <c r="P26" s="2"/>
      <c r="Q26" s="2"/>
      <c r="R26" s="2"/>
      <c r="S26" s="2"/>
      <c r="T26" s="2"/>
      <c r="U26" s="2"/>
      <c r="V26" s="2"/>
      <c r="W26" s="2"/>
      <c r="X26" s="2"/>
      <c r="Y26" s="2"/>
      <c r="Z26" s="2"/>
    </row>
    <row r="27" spans="1:26">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s="119" customFormat="1">
      <c r="A28" s="143" t="s">
        <v>27</v>
      </c>
      <c r="B28" s="144"/>
      <c r="C28" s="144"/>
      <c r="D28" s="144"/>
      <c r="E28" s="144"/>
      <c r="F28" s="144"/>
      <c r="G28" s="144"/>
      <c r="H28" s="144"/>
      <c r="I28" s="118"/>
      <c r="J28" s="118"/>
      <c r="K28" s="118"/>
      <c r="L28" s="118"/>
      <c r="M28" s="118"/>
      <c r="N28" s="118"/>
      <c r="O28" s="118"/>
      <c r="P28" s="118"/>
      <c r="Q28" s="118"/>
      <c r="R28" s="118"/>
      <c r="S28" s="118"/>
      <c r="T28" s="118"/>
      <c r="U28" s="118"/>
      <c r="V28" s="118"/>
      <c r="W28" s="118"/>
      <c r="X28" s="118"/>
      <c r="Y28" s="118"/>
      <c r="Z28" s="118"/>
    </row>
    <row r="29" spans="1:26">
      <c r="A29" s="141" t="str">
        <f>IF('Scoring Engine'!B14&lt;3,"0–3 Month Focus: Establish foundational AI capabilities including strategy, governance, executive sponsorship, AI literacy and data readiness.",IF('Scoring Engine'!B14&lt;4,"3–6 Month Focus: Formalise the AI operating model, strengthen governance controls, improve data quality and scale priority AI use cases.","6–12 Month Focus: Optimise enterprise AI capability, enhance value realisation, mature executive reporting and drive continuous improvement."))</f>
        <v>0–3 Month Focus: Establish foundational AI capabilities including strategy, governance, executive sponsorship, AI literacy and data readiness.</v>
      </c>
      <c r="B29" s="124"/>
      <c r="C29" s="124"/>
      <c r="D29" s="124"/>
      <c r="E29" s="124"/>
      <c r="F29" s="124"/>
      <c r="G29" s="124"/>
      <c r="H29" s="124"/>
      <c r="I29" s="2"/>
      <c r="J29" s="2"/>
      <c r="K29" s="2"/>
      <c r="L29" s="2"/>
      <c r="M29" s="2"/>
      <c r="N29" s="2"/>
      <c r="O29" s="2"/>
      <c r="P29" s="2"/>
      <c r="Q29" s="2"/>
      <c r="R29" s="2"/>
      <c r="S29" s="2"/>
      <c r="T29" s="2"/>
      <c r="U29" s="2"/>
      <c r="V29" s="2"/>
      <c r="W29" s="2"/>
      <c r="X29" s="2"/>
      <c r="Y29" s="2"/>
      <c r="Z29" s="2"/>
    </row>
    <row r="30" spans="1:26">
      <c r="A30" s="124"/>
      <c r="B30" s="142"/>
      <c r="C30" s="142"/>
      <c r="D30" s="142"/>
      <c r="E30" s="142"/>
      <c r="F30" s="142"/>
      <c r="G30" s="142"/>
      <c r="H30" s="124"/>
      <c r="I30" s="2"/>
      <c r="J30" s="2"/>
      <c r="K30" s="2"/>
      <c r="L30" s="2"/>
      <c r="M30" s="2"/>
      <c r="N30" s="2"/>
      <c r="O30" s="2"/>
      <c r="P30" s="2"/>
      <c r="Q30" s="2"/>
      <c r="R30" s="2"/>
      <c r="S30" s="2"/>
      <c r="T30" s="2"/>
      <c r="U30" s="2"/>
      <c r="V30" s="2"/>
      <c r="W30" s="2"/>
      <c r="X30" s="2"/>
      <c r="Y30" s="2"/>
      <c r="Z30" s="2"/>
    </row>
    <row r="31" spans="1:26">
      <c r="A31" s="124"/>
      <c r="B31" s="142"/>
      <c r="C31" s="142"/>
      <c r="D31" s="142"/>
      <c r="E31" s="142"/>
      <c r="F31" s="142"/>
      <c r="G31" s="142"/>
      <c r="H31" s="124"/>
      <c r="I31" s="2"/>
      <c r="J31" s="2"/>
      <c r="K31" s="2"/>
      <c r="L31" s="2"/>
      <c r="M31" s="2"/>
      <c r="N31" s="2"/>
      <c r="O31" s="2"/>
      <c r="P31" s="2"/>
      <c r="Q31" s="2"/>
      <c r="R31" s="2"/>
      <c r="S31" s="2"/>
      <c r="T31" s="2"/>
      <c r="U31" s="2"/>
      <c r="V31" s="2"/>
      <c r="W31" s="2"/>
      <c r="X31" s="2"/>
      <c r="Y31" s="2"/>
      <c r="Z31" s="2"/>
    </row>
    <row r="32" spans="1:26">
      <c r="A32" s="124"/>
      <c r="B32" s="142"/>
      <c r="C32" s="142"/>
      <c r="D32" s="142"/>
      <c r="E32" s="142"/>
      <c r="F32" s="142"/>
      <c r="G32" s="142"/>
      <c r="H32" s="124"/>
      <c r="I32" s="2"/>
      <c r="J32" s="2"/>
      <c r="K32" s="2"/>
      <c r="L32" s="2"/>
      <c r="M32" s="2"/>
      <c r="N32" s="2"/>
      <c r="O32" s="2"/>
      <c r="P32" s="2"/>
      <c r="Q32" s="2"/>
      <c r="R32" s="2"/>
      <c r="S32" s="2"/>
      <c r="T32" s="2"/>
      <c r="U32" s="2"/>
      <c r="V32" s="2"/>
      <c r="W32" s="2"/>
      <c r="X32" s="2"/>
      <c r="Y32" s="2"/>
      <c r="Z32" s="2"/>
    </row>
    <row r="33" spans="1:26">
      <c r="A33" s="124"/>
      <c r="B33" s="124"/>
      <c r="C33" s="124"/>
      <c r="D33" s="124"/>
      <c r="E33" s="124"/>
      <c r="F33" s="124"/>
      <c r="G33" s="124"/>
      <c r="H33" s="124"/>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sheetData>
  <mergeCells count="5">
    <mergeCell ref="A29:H33"/>
    <mergeCell ref="A22:H22"/>
    <mergeCell ref="A28:H28"/>
    <mergeCell ref="A23:H26"/>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F8270-13AA-43FE-926E-DB89AE1DC0C5}">
  <dimension ref="B3:C16"/>
  <sheetViews>
    <sheetView showGridLines="0" workbookViewId="0">
      <selection activeCell="C15" sqref="C15"/>
    </sheetView>
  </sheetViews>
  <sheetFormatPr defaultRowHeight="14"/>
  <cols>
    <col min="2" max="2" width="54.4140625" customWidth="1"/>
    <col min="3" max="3" width="50.58203125" bestFit="1" customWidth="1"/>
  </cols>
  <sheetData>
    <row r="3" spans="2:3">
      <c r="B3" t="s">
        <v>324</v>
      </c>
    </row>
    <row r="6" spans="2:3">
      <c r="B6" s="96" t="s">
        <v>132</v>
      </c>
      <c r="C6" s="96" t="s">
        <v>322</v>
      </c>
    </row>
    <row r="7" spans="2:3">
      <c r="B7" s="96" t="s">
        <v>138</v>
      </c>
      <c r="C7" s="96" t="s">
        <v>325</v>
      </c>
    </row>
    <row r="8" spans="2:3">
      <c r="B8" s="96" t="s">
        <v>144</v>
      </c>
      <c r="C8" s="96" t="s">
        <v>326</v>
      </c>
    </row>
    <row r="9" spans="2:3">
      <c r="B9" s="96" t="s">
        <v>150</v>
      </c>
      <c r="C9" s="96" t="s">
        <v>327</v>
      </c>
    </row>
    <row r="10" spans="2:3">
      <c r="B10" s="96" t="s">
        <v>156</v>
      </c>
      <c r="C10" s="96" t="s">
        <v>328</v>
      </c>
    </row>
    <row r="11" spans="2:3">
      <c r="B11" s="96" t="s">
        <v>162</v>
      </c>
      <c r="C11" s="96" t="s">
        <v>329</v>
      </c>
    </row>
    <row r="12" spans="2:3">
      <c r="B12" s="96" t="s">
        <v>168</v>
      </c>
      <c r="C12" s="96" t="s">
        <v>330</v>
      </c>
    </row>
    <row r="13" spans="2:3">
      <c r="B13" s="96" t="s">
        <v>174</v>
      </c>
      <c r="C13" s="96" t="s">
        <v>331</v>
      </c>
    </row>
    <row r="14" spans="2:3">
      <c r="B14" s="96" t="s">
        <v>180</v>
      </c>
      <c r="C14" s="96" t="s">
        <v>332</v>
      </c>
    </row>
    <row r="15" spans="2:3">
      <c r="B15" s="96" t="s">
        <v>186</v>
      </c>
      <c r="C15" s="96" t="s">
        <v>333</v>
      </c>
    </row>
    <row r="16" spans="2:3">
      <c r="B16" s="96" t="s">
        <v>192</v>
      </c>
      <c r="C16" s="96" t="s">
        <v>334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3DE5A-C6F2-48DB-B9A3-5676485D8F44}">
  <dimension ref="A1:Z293"/>
  <sheetViews>
    <sheetView showGridLines="0" workbookViewId="0">
      <selection sqref="A1:XFD1048576"/>
    </sheetView>
  </sheetViews>
  <sheetFormatPr defaultColWidth="0" defaultRowHeight="14"/>
  <cols>
    <col min="1" max="1" width="8.6640625" style="1" customWidth="1"/>
    <col min="2" max="2" width="12.9140625" style="1" customWidth="1"/>
    <col min="3" max="3" width="53.75" style="1" customWidth="1"/>
    <col min="4" max="26" width="8.6640625" style="1" customWidth="1"/>
    <col min="27" max="16384" width="8.6640625" style="1" hidden="1"/>
  </cols>
  <sheetData>
    <row r="1" spans="1:1" ht="31">
      <c r="A1" s="70" t="s">
        <v>204</v>
      </c>
    </row>
    <row r="3" spans="1:1" ht="23.5">
      <c r="A3" s="71" t="s">
        <v>205</v>
      </c>
    </row>
    <row r="5" spans="1:1" ht="17">
      <c r="A5" s="72" t="s">
        <v>28</v>
      </c>
    </row>
    <row r="7" spans="1:1" ht="15.5">
      <c r="A7" s="14" t="s">
        <v>206</v>
      </c>
    </row>
    <row r="9" spans="1:1" ht="15.5">
      <c r="A9" s="14" t="s">
        <v>207</v>
      </c>
    </row>
    <row r="11" spans="1:1" ht="15.5">
      <c r="A11" s="14" t="s">
        <v>208</v>
      </c>
    </row>
    <row r="13" spans="1:1" ht="15.5">
      <c r="A13" s="14" t="s">
        <v>209</v>
      </c>
    </row>
    <row r="17" spans="1:3" ht="31">
      <c r="A17" s="70" t="s">
        <v>210</v>
      </c>
    </row>
    <row r="19" spans="1:3" ht="17">
      <c r="A19" s="72" t="s">
        <v>211</v>
      </c>
    </row>
    <row r="21" spans="1:3" ht="15.5">
      <c r="A21" s="14" t="s">
        <v>212</v>
      </c>
    </row>
    <row r="23" spans="1:3" s="73" customFormat="1" ht="15.5">
      <c r="A23" s="14" t="s">
        <v>213</v>
      </c>
      <c r="B23" s="1"/>
      <c r="C23" s="1"/>
    </row>
    <row r="25" spans="1:3" s="73" customFormat="1" ht="17">
      <c r="A25" s="72" t="s">
        <v>214</v>
      </c>
      <c r="B25" s="1"/>
      <c r="C25" s="1"/>
    </row>
    <row r="26" spans="1:3" s="73" customFormat="1">
      <c r="A26" s="1"/>
      <c r="B26" s="1"/>
      <c r="C26" s="1"/>
    </row>
    <row r="27" spans="1:3" s="73" customFormat="1" ht="15.5">
      <c r="A27" s="14" t="s">
        <v>215</v>
      </c>
      <c r="B27" s="1"/>
      <c r="C27" s="1"/>
    </row>
    <row r="28" spans="1:3" s="73" customFormat="1">
      <c r="A28" s="74"/>
      <c r="B28" s="1"/>
      <c r="C28" s="1"/>
    </row>
    <row r="29" spans="1:3" s="73" customFormat="1" ht="15.5">
      <c r="A29" s="75" t="s">
        <v>216</v>
      </c>
      <c r="B29" s="1"/>
      <c r="C29" s="1"/>
    </row>
    <row r="30" spans="1:3" s="73" customFormat="1">
      <c r="A30" s="74"/>
      <c r="B30" s="1"/>
      <c r="C30" s="1"/>
    </row>
    <row r="31" spans="1:3" s="73" customFormat="1" ht="15.5">
      <c r="A31" s="75" t="s">
        <v>199</v>
      </c>
      <c r="B31" s="1"/>
      <c r="C31" s="1"/>
    </row>
    <row r="32" spans="1:3">
      <c r="A32" s="74"/>
    </row>
    <row r="33" spans="1:3" ht="15.5">
      <c r="A33" s="75" t="s">
        <v>200</v>
      </c>
    </row>
    <row r="34" spans="1:3">
      <c r="A34" s="74"/>
    </row>
    <row r="35" spans="1:3" ht="15.5">
      <c r="A35" s="75" t="s">
        <v>217</v>
      </c>
    </row>
    <row r="37" spans="1:3" ht="17">
      <c r="A37" s="72" t="s">
        <v>218</v>
      </c>
    </row>
    <row r="39" spans="1:3" s="73" customFormat="1" ht="15.5">
      <c r="A39" s="14" t="s">
        <v>219</v>
      </c>
      <c r="B39" s="1"/>
      <c r="C39" s="1"/>
    </row>
    <row r="40" spans="1:3" s="73" customFormat="1">
      <c r="A40" s="74"/>
      <c r="B40" s="1"/>
      <c r="C40" s="1"/>
    </row>
    <row r="41" spans="1:3" s="73" customFormat="1" ht="15.5">
      <c r="A41" s="75" t="s">
        <v>11</v>
      </c>
      <c r="B41" s="1"/>
      <c r="C41" s="1"/>
    </row>
    <row r="42" spans="1:3" s="73" customFormat="1">
      <c r="A42" s="74"/>
      <c r="B42" s="1"/>
      <c r="C42" s="1"/>
    </row>
    <row r="43" spans="1:3" s="73" customFormat="1" ht="15.5">
      <c r="A43" s="75" t="s">
        <v>12</v>
      </c>
      <c r="B43" s="1"/>
      <c r="C43" s="1"/>
    </row>
    <row r="44" spans="1:3" s="73" customFormat="1">
      <c r="A44" s="74"/>
      <c r="B44" s="1"/>
      <c r="C44" s="1"/>
    </row>
    <row r="45" spans="1:3" s="73" customFormat="1" ht="15.5">
      <c r="A45" s="75" t="s">
        <v>220</v>
      </c>
      <c r="B45" s="1"/>
      <c r="C45" s="1"/>
    </row>
    <row r="46" spans="1:3" s="73" customFormat="1">
      <c r="A46" s="74"/>
      <c r="B46" s="1"/>
      <c r="C46" s="1"/>
    </row>
    <row r="47" spans="1:3" s="73" customFormat="1" ht="15.5">
      <c r="A47" s="75" t="s">
        <v>221</v>
      </c>
      <c r="B47" s="1"/>
      <c r="C47" s="1"/>
    </row>
    <row r="49" spans="1:3" ht="17">
      <c r="A49" s="72" t="s">
        <v>222</v>
      </c>
    </row>
    <row r="51" spans="1:3" ht="15.5">
      <c r="A51" s="14" t="s">
        <v>223</v>
      </c>
    </row>
    <row r="52" spans="1:3">
      <c r="A52" s="74"/>
    </row>
    <row r="53" spans="1:3" ht="15.5">
      <c r="A53" s="75" t="s">
        <v>224</v>
      </c>
    </row>
    <row r="54" spans="1:3">
      <c r="A54" s="74"/>
    </row>
    <row r="55" spans="1:3" s="73" customFormat="1" ht="15.5">
      <c r="A55" s="75" t="s">
        <v>225</v>
      </c>
      <c r="B55" s="1"/>
      <c r="C55" s="1"/>
    </row>
    <row r="56" spans="1:3" s="73" customFormat="1">
      <c r="A56" s="74"/>
      <c r="B56" s="1"/>
      <c r="C56" s="1"/>
    </row>
    <row r="57" spans="1:3" s="73" customFormat="1" ht="15.5">
      <c r="A57" s="75" t="s">
        <v>226</v>
      </c>
      <c r="B57" s="1"/>
      <c r="C57" s="1"/>
    </row>
    <row r="58" spans="1:3" s="73" customFormat="1">
      <c r="A58" s="1"/>
      <c r="B58" s="1"/>
      <c r="C58" s="1"/>
    </row>
    <row r="59" spans="1:3" s="73" customFormat="1" ht="17">
      <c r="A59" s="72" t="s">
        <v>227</v>
      </c>
      <c r="B59" s="1"/>
      <c r="C59" s="1"/>
    </row>
    <row r="60" spans="1:3" s="73" customFormat="1">
      <c r="A60" s="1"/>
      <c r="B60" s="1"/>
      <c r="C60" s="1"/>
    </row>
    <row r="61" spans="1:3" s="73" customFormat="1" ht="15.5">
      <c r="A61" s="14" t="s">
        <v>228</v>
      </c>
      <c r="B61" s="1"/>
      <c r="C61" s="1"/>
    </row>
    <row r="62" spans="1:3" s="73" customFormat="1">
      <c r="A62" s="1"/>
      <c r="B62" s="1"/>
      <c r="C62" s="1"/>
    </row>
    <row r="63" spans="1:3" s="73" customFormat="1">
      <c r="A63" s="1"/>
      <c r="B63" s="1"/>
      <c r="C63" s="1"/>
    </row>
    <row r="65" spans="1:3" ht="31">
      <c r="A65" s="70" t="s">
        <v>229</v>
      </c>
    </row>
    <row r="67" spans="1:3" ht="15.5">
      <c r="A67" s="14" t="s">
        <v>230</v>
      </c>
    </row>
    <row r="69" spans="1:3" ht="23.5">
      <c r="A69" s="71" t="s">
        <v>231</v>
      </c>
    </row>
    <row r="71" spans="1:3" s="73" customFormat="1" ht="15.5">
      <c r="A71" s="14" t="s">
        <v>232</v>
      </c>
      <c r="B71" s="1"/>
      <c r="C71" s="1"/>
    </row>
    <row r="72" spans="1:3" s="73" customFormat="1">
      <c r="A72" s="1"/>
      <c r="B72" s="1"/>
      <c r="C72" s="1"/>
    </row>
    <row r="73" spans="1:3" s="73" customFormat="1" ht="15.5">
      <c r="A73" s="76" t="s">
        <v>233</v>
      </c>
      <c r="B73" s="1"/>
      <c r="C73" s="1"/>
    </row>
    <row r="74" spans="1:3" s="73" customFormat="1">
      <c r="A74" s="74"/>
      <c r="B74" s="1"/>
      <c r="C74" s="1"/>
    </row>
    <row r="75" spans="1:3" s="73" customFormat="1" ht="15.5">
      <c r="A75" s="75" t="s">
        <v>234</v>
      </c>
      <c r="B75" s="1"/>
      <c r="C75" s="1"/>
    </row>
    <row r="76" spans="1:3" s="73" customFormat="1">
      <c r="A76" s="74"/>
      <c r="B76" s="1"/>
      <c r="C76" s="1"/>
    </row>
    <row r="77" spans="1:3" s="73" customFormat="1" ht="15.5">
      <c r="A77" s="75" t="s">
        <v>235</v>
      </c>
      <c r="B77" s="1"/>
      <c r="C77" s="1"/>
    </row>
    <row r="78" spans="1:3" s="73" customFormat="1">
      <c r="A78" s="74"/>
      <c r="B78" s="1"/>
      <c r="C78" s="1"/>
    </row>
    <row r="79" spans="1:3" s="73" customFormat="1" ht="15.5">
      <c r="A79" s="75" t="s">
        <v>236</v>
      </c>
      <c r="B79" s="1"/>
      <c r="C79" s="1"/>
    </row>
    <row r="80" spans="1:3">
      <c r="A80" s="74"/>
    </row>
    <row r="81" spans="1:3" ht="15.5">
      <c r="A81" s="75" t="s">
        <v>237</v>
      </c>
    </row>
    <row r="82" spans="1:3">
      <c r="A82" s="74"/>
    </row>
    <row r="83" spans="1:3" ht="15.5">
      <c r="A83" s="75" t="s">
        <v>238</v>
      </c>
    </row>
    <row r="87" spans="1:3" s="73" customFormat="1" ht="23.5">
      <c r="A87" s="71" t="s">
        <v>239</v>
      </c>
      <c r="B87" s="1"/>
      <c r="C87" s="1"/>
    </row>
    <row r="88" spans="1:3" s="73" customFormat="1">
      <c r="A88" s="1"/>
      <c r="B88" s="1"/>
      <c r="C88" s="1"/>
    </row>
    <row r="89" spans="1:3" s="73" customFormat="1" ht="15.5">
      <c r="A89" s="14" t="s">
        <v>240</v>
      </c>
      <c r="B89" s="1"/>
      <c r="C89" s="1"/>
    </row>
    <row r="90" spans="1:3" s="73" customFormat="1">
      <c r="A90" s="1"/>
      <c r="B90" s="1"/>
      <c r="C90" s="1"/>
    </row>
    <row r="91" spans="1:3" s="73" customFormat="1" ht="15.5">
      <c r="A91" s="76" t="s">
        <v>233</v>
      </c>
      <c r="B91" s="1"/>
      <c r="C91" s="1"/>
    </row>
    <row r="92" spans="1:3" s="73" customFormat="1">
      <c r="A92" s="74"/>
      <c r="B92" s="1"/>
      <c r="C92" s="1"/>
    </row>
    <row r="93" spans="1:3" s="73" customFormat="1" ht="15.5">
      <c r="A93" s="75" t="s">
        <v>241</v>
      </c>
      <c r="B93" s="1"/>
      <c r="C93" s="1"/>
    </row>
    <row r="94" spans="1:3" s="73" customFormat="1">
      <c r="A94" s="74"/>
      <c r="B94" s="1"/>
      <c r="C94" s="1"/>
    </row>
    <row r="95" spans="1:3" s="73" customFormat="1" ht="15.5">
      <c r="A95" s="75" t="s">
        <v>242</v>
      </c>
      <c r="B95" s="1"/>
      <c r="C95" s="1"/>
    </row>
    <row r="96" spans="1:3">
      <c r="A96" s="74"/>
    </row>
    <row r="97" spans="1:3" ht="15.5">
      <c r="A97" s="75" t="s">
        <v>243</v>
      </c>
    </row>
    <row r="98" spans="1:3">
      <c r="A98" s="74"/>
    </row>
    <row r="99" spans="1:3" ht="15.5">
      <c r="A99" s="75" t="s">
        <v>244</v>
      </c>
    </row>
    <row r="100" spans="1:3">
      <c r="A100" s="74"/>
    </row>
    <row r="101" spans="1:3" ht="15.5">
      <c r="A101" s="75" t="s">
        <v>245</v>
      </c>
    </row>
    <row r="105" spans="1:3" s="73" customFormat="1" ht="23.5">
      <c r="A105" s="71" t="s">
        <v>246</v>
      </c>
      <c r="B105" s="1"/>
      <c r="C105" s="1"/>
    </row>
    <row r="106" spans="1:3" s="73" customFormat="1">
      <c r="A106" s="1"/>
      <c r="B106" s="1"/>
      <c r="C106" s="1"/>
    </row>
    <row r="107" spans="1:3" s="73" customFormat="1" ht="15.5">
      <c r="A107" s="14" t="s">
        <v>247</v>
      </c>
      <c r="B107" s="1"/>
      <c r="C107" s="1"/>
    </row>
    <row r="108" spans="1:3" s="73" customFormat="1">
      <c r="A108" s="1"/>
      <c r="B108" s="1"/>
      <c r="C108" s="1"/>
    </row>
    <row r="109" spans="1:3" s="73" customFormat="1" ht="15.5">
      <c r="A109" s="76" t="s">
        <v>233</v>
      </c>
      <c r="B109" s="1"/>
      <c r="C109" s="1"/>
    </row>
    <row r="110" spans="1:3" s="73" customFormat="1">
      <c r="A110" s="74"/>
      <c r="B110" s="1"/>
      <c r="C110" s="1"/>
    </row>
    <row r="111" spans="1:3" s="73" customFormat="1" ht="15.5">
      <c r="A111" s="75" t="s">
        <v>248</v>
      </c>
      <c r="B111" s="1"/>
      <c r="C111" s="1"/>
    </row>
    <row r="112" spans="1:3" s="73" customFormat="1">
      <c r="A112" s="74"/>
      <c r="B112" s="1"/>
      <c r="C112" s="1"/>
    </row>
    <row r="113" spans="1:3" s="73" customFormat="1" ht="15.5">
      <c r="A113" s="75" t="s">
        <v>249</v>
      </c>
      <c r="B113" s="1"/>
      <c r="C113" s="1"/>
    </row>
    <row r="114" spans="1:3">
      <c r="A114" s="74"/>
    </row>
    <row r="115" spans="1:3" ht="15.5">
      <c r="A115" s="75" t="s">
        <v>250</v>
      </c>
    </row>
    <row r="116" spans="1:3">
      <c r="A116" s="74"/>
    </row>
    <row r="117" spans="1:3" ht="15.5">
      <c r="A117" s="75" t="s">
        <v>251</v>
      </c>
    </row>
    <row r="118" spans="1:3">
      <c r="A118" s="74"/>
    </row>
    <row r="119" spans="1:3" ht="15.5">
      <c r="A119" s="75" t="s">
        <v>252</v>
      </c>
    </row>
    <row r="123" spans="1:3" s="73" customFormat="1" ht="23.5">
      <c r="A123" s="71" t="s">
        <v>253</v>
      </c>
      <c r="B123" s="1"/>
      <c r="C123" s="1"/>
    </row>
    <row r="124" spans="1:3" s="73" customFormat="1">
      <c r="A124" s="1"/>
      <c r="B124" s="1"/>
      <c r="C124" s="1"/>
    </row>
    <row r="125" spans="1:3" s="73" customFormat="1" ht="15.5">
      <c r="A125" s="14" t="s">
        <v>254</v>
      </c>
      <c r="B125" s="1"/>
      <c r="C125" s="1"/>
    </row>
    <row r="126" spans="1:3" s="73" customFormat="1">
      <c r="A126" s="1"/>
      <c r="B126" s="1"/>
      <c r="C126" s="1"/>
    </row>
    <row r="127" spans="1:3" s="73" customFormat="1" ht="15.5">
      <c r="A127" s="76" t="s">
        <v>233</v>
      </c>
      <c r="B127" s="1"/>
      <c r="C127" s="1"/>
    </row>
    <row r="128" spans="1:3" s="73" customFormat="1">
      <c r="A128" s="74"/>
      <c r="B128" s="1"/>
      <c r="C128" s="1"/>
    </row>
    <row r="129" spans="1:3" s="73" customFormat="1" ht="15.5">
      <c r="A129" s="75" t="s">
        <v>255</v>
      </c>
      <c r="B129" s="1"/>
      <c r="C129" s="1"/>
    </row>
    <row r="130" spans="1:3" s="73" customFormat="1">
      <c r="A130" s="74"/>
      <c r="B130" s="1"/>
      <c r="C130" s="1"/>
    </row>
    <row r="131" spans="1:3" s="73" customFormat="1" ht="15.5">
      <c r="A131" s="75" t="s">
        <v>256</v>
      </c>
      <c r="B131" s="1"/>
      <c r="C131" s="1"/>
    </row>
    <row r="132" spans="1:3">
      <c r="A132" s="74"/>
    </row>
    <row r="133" spans="1:3" ht="15.5">
      <c r="A133" s="75" t="s">
        <v>257</v>
      </c>
    </row>
    <row r="134" spans="1:3">
      <c r="A134" s="74"/>
    </row>
    <row r="135" spans="1:3" ht="15.5">
      <c r="A135" s="75" t="s">
        <v>258</v>
      </c>
    </row>
    <row r="136" spans="1:3">
      <c r="A136" s="74"/>
    </row>
    <row r="137" spans="1:3" ht="15.5">
      <c r="A137" s="75" t="s">
        <v>259</v>
      </c>
    </row>
    <row r="139" spans="1:3" s="73" customFormat="1">
      <c r="A139" s="1"/>
      <c r="B139" s="1"/>
      <c r="C139" s="1"/>
    </row>
    <row r="140" spans="1:3" s="73" customFormat="1">
      <c r="A140" s="1"/>
      <c r="B140" s="1"/>
      <c r="C140" s="1"/>
    </row>
    <row r="141" spans="1:3" s="73" customFormat="1" ht="23.5">
      <c r="A141" s="71" t="s">
        <v>260</v>
      </c>
      <c r="B141" s="1"/>
      <c r="C141" s="1"/>
    </row>
    <row r="142" spans="1:3" s="73" customFormat="1">
      <c r="A142" s="1"/>
      <c r="B142" s="1"/>
      <c r="C142" s="1"/>
    </row>
    <row r="143" spans="1:3" s="73" customFormat="1" ht="15.5">
      <c r="A143" s="14" t="s">
        <v>261</v>
      </c>
      <c r="B143" s="1"/>
      <c r="C143" s="1"/>
    </row>
    <row r="144" spans="1:3" s="73" customFormat="1">
      <c r="A144" s="1"/>
      <c r="B144" s="1"/>
      <c r="C144" s="1"/>
    </row>
    <row r="145" spans="1:3" s="73" customFormat="1" ht="15.5">
      <c r="A145" s="76" t="s">
        <v>233</v>
      </c>
      <c r="B145" s="1"/>
      <c r="C145" s="1"/>
    </row>
    <row r="146" spans="1:3" s="73" customFormat="1">
      <c r="A146" s="74"/>
      <c r="B146" s="1"/>
      <c r="C146" s="1"/>
    </row>
    <row r="147" spans="1:3" s="73" customFormat="1" ht="15.5">
      <c r="A147" s="75" t="s">
        <v>262</v>
      </c>
      <c r="B147" s="1"/>
      <c r="C147" s="1"/>
    </row>
    <row r="148" spans="1:3">
      <c r="A148" s="74"/>
    </row>
    <row r="149" spans="1:3" ht="15.5">
      <c r="A149" s="75" t="s">
        <v>263</v>
      </c>
    </row>
    <row r="150" spans="1:3">
      <c r="A150" s="74"/>
    </row>
    <row r="151" spans="1:3" ht="15.5">
      <c r="A151" s="75" t="s">
        <v>264</v>
      </c>
    </row>
    <row r="152" spans="1:3">
      <c r="A152" s="74"/>
    </row>
    <row r="153" spans="1:3" ht="15.5">
      <c r="A153" s="75" t="s">
        <v>265</v>
      </c>
    </row>
    <row r="154" spans="1:3">
      <c r="A154" s="74"/>
    </row>
    <row r="155" spans="1:3" s="73" customFormat="1" ht="15.5">
      <c r="A155" s="75" t="s">
        <v>266</v>
      </c>
      <c r="B155" s="1"/>
      <c r="C155" s="1"/>
    </row>
    <row r="156" spans="1:3" s="73" customFormat="1">
      <c r="A156" s="1"/>
      <c r="B156" s="1"/>
      <c r="C156" s="1"/>
    </row>
    <row r="157" spans="1:3" s="73" customFormat="1">
      <c r="A157" s="1"/>
      <c r="B157" s="1"/>
      <c r="C157" s="1"/>
    </row>
    <row r="158" spans="1:3" s="73" customFormat="1">
      <c r="A158" s="1"/>
      <c r="B158" s="1"/>
      <c r="C158" s="1"/>
    </row>
    <row r="159" spans="1:3" s="73" customFormat="1" ht="23.5">
      <c r="A159" s="71" t="s">
        <v>267</v>
      </c>
      <c r="B159" s="1"/>
      <c r="C159" s="1"/>
    </row>
    <row r="160" spans="1:3" s="73" customFormat="1">
      <c r="A160" s="1"/>
      <c r="B160" s="1"/>
      <c r="C160" s="1"/>
    </row>
    <row r="161" spans="1:3" s="73" customFormat="1" ht="15.5">
      <c r="A161" s="14" t="s">
        <v>268</v>
      </c>
      <c r="B161" s="1"/>
      <c r="C161" s="1"/>
    </row>
    <row r="162" spans="1:3" s="73" customFormat="1">
      <c r="A162" s="1"/>
      <c r="B162" s="1"/>
      <c r="C162" s="1"/>
    </row>
    <row r="163" spans="1:3" s="73" customFormat="1" ht="15.5">
      <c r="A163" s="76" t="s">
        <v>233</v>
      </c>
      <c r="B163" s="1"/>
      <c r="C163" s="1"/>
    </row>
    <row r="164" spans="1:3">
      <c r="A164" s="74"/>
    </row>
    <row r="165" spans="1:3" ht="15.5">
      <c r="A165" s="75" t="s">
        <v>269</v>
      </c>
    </row>
    <row r="166" spans="1:3">
      <c r="A166" s="74"/>
    </row>
    <row r="167" spans="1:3" ht="15.5">
      <c r="A167" s="75" t="s">
        <v>270</v>
      </c>
    </row>
    <row r="168" spans="1:3">
      <c r="A168" s="74"/>
    </row>
    <row r="169" spans="1:3" ht="15.5">
      <c r="A169" s="75" t="s">
        <v>271</v>
      </c>
    </row>
    <row r="170" spans="1:3">
      <c r="A170" s="74"/>
    </row>
    <row r="171" spans="1:3" s="73" customFormat="1" ht="15.5">
      <c r="A171" s="75" t="s">
        <v>272</v>
      </c>
      <c r="B171" s="1"/>
      <c r="C171" s="1"/>
    </row>
    <row r="172" spans="1:3" s="73" customFormat="1">
      <c r="A172" s="74"/>
      <c r="B172" s="1"/>
      <c r="C172" s="1"/>
    </row>
    <row r="173" spans="1:3" s="73" customFormat="1" ht="15.5">
      <c r="A173" s="75" t="s">
        <v>273</v>
      </c>
      <c r="B173" s="1"/>
      <c r="C173" s="1"/>
    </row>
    <row r="174" spans="1:3" s="73" customFormat="1">
      <c r="A174" s="1"/>
      <c r="B174" s="1"/>
      <c r="C174" s="1"/>
    </row>
    <row r="175" spans="1:3" s="73" customFormat="1">
      <c r="A175" s="1"/>
      <c r="B175" s="1"/>
      <c r="C175" s="1"/>
    </row>
    <row r="176" spans="1:3" s="73" customFormat="1">
      <c r="A176" s="1"/>
      <c r="B176" s="1"/>
      <c r="C176" s="1"/>
    </row>
    <row r="177" spans="1:3" s="73" customFormat="1" ht="23.5">
      <c r="A177" s="71" t="s">
        <v>274</v>
      </c>
      <c r="B177" s="1"/>
      <c r="C177" s="1"/>
    </row>
    <row r="178" spans="1:3" s="73" customFormat="1">
      <c r="A178" s="1"/>
      <c r="B178" s="1"/>
      <c r="C178" s="1"/>
    </row>
    <row r="179" spans="1:3" s="73" customFormat="1" ht="15.5">
      <c r="A179" s="14" t="s">
        <v>275</v>
      </c>
      <c r="B179" s="1"/>
      <c r="C179" s="1"/>
    </row>
    <row r="181" spans="1:3" ht="15.5">
      <c r="A181" s="76" t="s">
        <v>233</v>
      </c>
    </row>
    <row r="182" spans="1:3">
      <c r="A182" s="74"/>
    </row>
    <row r="183" spans="1:3" ht="15.5">
      <c r="A183" s="75" t="s">
        <v>276</v>
      </c>
    </row>
    <row r="184" spans="1:3">
      <c r="A184" s="74"/>
    </row>
    <row r="185" spans="1:3" ht="15.5">
      <c r="A185" s="75" t="s">
        <v>277</v>
      </c>
    </row>
    <row r="186" spans="1:3">
      <c r="A186" s="74"/>
    </row>
    <row r="187" spans="1:3" ht="15.5">
      <c r="A187" s="75" t="s">
        <v>278</v>
      </c>
    </row>
    <row r="188" spans="1:3">
      <c r="A188" s="74"/>
    </row>
    <row r="189" spans="1:3" ht="15.5">
      <c r="A189" s="75" t="s">
        <v>279</v>
      </c>
    </row>
    <row r="190" spans="1:3">
      <c r="A190" s="74"/>
    </row>
    <row r="191" spans="1:3" ht="15.5">
      <c r="A191" s="75" t="s">
        <v>280</v>
      </c>
    </row>
    <row r="195" spans="1:3" ht="23.5">
      <c r="A195" s="71" t="s">
        <v>281</v>
      </c>
    </row>
    <row r="197" spans="1:3" s="73" customFormat="1" ht="15.5">
      <c r="A197" s="14" t="s">
        <v>282</v>
      </c>
      <c r="B197" s="1"/>
      <c r="C197" s="1"/>
    </row>
    <row r="198" spans="1:3" s="73" customFormat="1">
      <c r="A198" s="1"/>
      <c r="B198" s="1"/>
      <c r="C198" s="1"/>
    </row>
    <row r="199" spans="1:3" s="73" customFormat="1" ht="15.5">
      <c r="A199" s="76" t="s">
        <v>233</v>
      </c>
      <c r="B199" s="1"/>
      <c r="C199" s="1"/>
    </row>
    <row r="200" spans="1:3" s="73" customFormat="1">
      <c r="A200" s="74"/>
      <c r="B200" s="1"/>
      <c r="C200" s="1"/>
    </row>
    <row r="201" spans="1:3" s="73" customFormat="1" ht="15.5">
      <c r="A201" s="75" t="s">
        <v>283</v>
      </c>
      <c r="B201" s="1"/>
      <c r="C201" s="1"/>
    </row>
    <row r="202" spans="1:3" s="73" customFormat="1">
      <c r="A202" s="74"/>
      <c r="B202" s="1"/>
      <c r="C202" s="1"/>
    </row>
    <row r="203" spans="1:3" s="73" customFormat="1" ht="15.5">
      <c r="A203" s="75" t="s">
        <v>284</v>
      </c>
      <c r="B203" s="1"/>
      <c r="C203" s="1"/>
    </row>
    <row r="204" spans="1:3" s="73" customFormat="1">
      <c r="A204" s="74"/>
      <c r="B204" s="1"/>
      <c r="C204" s="1"/>
    </row>
    <row r="205" spans="1:3" s="73" customFormat="1" ht="15.5">
      <c r="A205" s="75" t="s">
        <v>285</v>
      </c>
      <c r="B205" s="1"/>
      <c r="C205" s="1"/>
    </row>
    <row r="206" spans="1:3" s="73" customFormat="1">
      <c r="A206" s="74"/>
      <c r="B206" s="1"/>
      <c r="C206" s="1"/>
    </row>
    <row r="207" spans="1:3" s="73" customFormat="1" ht="15.5">
      <c r="A207" s="75" t="s">
        <v>286</v>
      </c>
      <c r="B207" s="1"/>
      <c r="C207" s="1"/>
    </row>
    <row r="208" spans="1:3" s="73" customFormat="1">
      <c r="A208" s="74"/>
      <c r="B208" s="1"/>
      <c r="C208" s="1"/>
    </row>
    <row r="209" spans="1:3" s="73" customFormat="1" ht="15.5">
      <c r="A209" s="75" t="s">
        <v>287</v>
      </c>
      <c r="B209" s="1"/>
      <c r="C209" s="1"/>
    </row>
    <row r="210" spans="1:3" s="73" customFormat="1">
      <c r="A210" s="1"/>
      <c r="B210" s="1"/>
      <c r="C210" s="1"/>
    </row>
    <row r="211" spans="1:3" s="73" customFormat="1">
      <c r="A211" s="1"/>
      <c r="B211" s="1"/>
      <c r="C211" s="1"/>
    </row>
    <row r="212" spans="1:3" s="73" customFormat="1">
      <c r="A212" s="1"/>
      <c r="B212" s="1"/>
      <c r="C212" s="1"/>
    </row>
    <row r="213" spans="1:3" s="73" customFormat="1" ht="23.5">
      <c r="A213" s="71" t="s">
        <v>288</v>
      </c>
      <c r="B213" s="1"/>
      <c r="C213" s="1"/>
    </row>
    <row r="214" spans="1:3" s="73" customFormat="1">
      <c r="A214" s="1"/>
      <c r="B214" s="1"/>
      <c r="C214" s="1"/>
    </row>
    <row r="215" spans="1:3" s="73" customFormat="1" ht="15.5">
      <c r="A215" s="14" t="s">
        <v>289</v>
      </c>
      <c r="B215" s="1"/>
      <c r="C215" s="1"/>
    </row>
    <row r="217" spans="1:3" ht="15.5">
      <c r="A217" s="76" t="s">
        <v>233</v>
      </c>
    </row>
    <row r="218" spans="1:3">
      <c r="A218" s="74"/>
    </row>
    <row r="219" spans="1:3" ht="15.5">
      <c r="A219" s="75" t="s">
        <v>290</v>
      </c>
    </row>
    <row r="220" spans="1:3">
      <c r="A220" s="74"/>
    </row>
    <row r="221" spans="1:3" ht="15.5">
      <c r="A221" s="75" t="s">
        <v>291</v>
      </c>
    </row>
    <row r="222" spans="1:3">
      <c r="A222" s="74"/>
    </row>
    <row r="223" spans="1:3" ht="15.5">
      <c r="A223" s="75" t="s">
        <v>292</v>
      </c>
    </row>
    <row r="224" spans="1:3">
      <c r="A224" s="74"/>
    </row>
    <row r="225" spans="1:1" ht="15.5">
      <c r="A225" s="75" t="s">
        <v>293</v>
      </c>
    </row>
    <row r="226" spans="1:1">
      <c r="A226" s="74"/>
    </row>
    <row r="227" spans="1:1" ht="15.5">
      <c r="A227" s="75" t="s">
        <v>294</v>
      </c>
    </row>
    <row r="231" spans="1:1" ht="23.5">
      <c r="A231" s="71" t="s">
        <v>295</v>
      </c>
    </row>
    <row r="233" spans="1:1" ht="15.5">
      <c r="A233" s="14" t="s">
        <v>296</v>
      </c>
    </row>
    <row r="235" spans="1:1" ht="15.5">
      <c r="A235" s="76" t="s">
        <v>233</v>
      </c>
    </row>
    <row r="236" spans="1:1">
      <c r="A236" s="74"/>
    </row>
    <row r="237" spans="1:1" ht="15.5">
      <c r="A237" s="75" t="s">
        <v>297</v>
      </c>
    </row>
    <row r="238" spans="1:1">
      <c r="A238" s="74"/>
    </row>
    <row r="239" spans="1:1" ht="15.5">
      <c r="A239" s="75" t="s">
        <v>298</v>
      </c>
    </row>
    <row r="240" spans="1:1">
      <c r="A240" s="74"/>
    </row>
    <row r="241" spans="1:3" ht="15.5">
      <c r="A241" s="75" t="s">
        <v>299</v>
      </c>
    </row>
    <row r="242" spans="1:3">
      <c r="A242" s="74"/>
    </row>
    <row r="243" spans="1:3" ht="15.5">
      <c r="A243" s="75" t="s">
        <v>300</v>
      </c>
    </row>
    <row r="244" spans="1:3">
      <c r="A244" s="74"/>
    </row>
    <row r="245" spans="1:3" ht="15.5">
      <c r="A245" s="75" t="s">
        <v>301</v>
      </c>
    </row>
    <row r="249" spans="1:3" ht="31">
      <c r="A249" s="70" t="s">
        <v>302</v>
      </c>
    </row>
    <row r="251" spans="1:3" ht="15.5">
      <c r="A251" s="14" t="s">
        <v>303</v>
      </c>
    </row>
    <row r="253" spans="1:3" ht="15.5">
      <c r="A253" s="77" t="s">
        <v>0</v>
      </c>
      <c r="B253" s="77" t="s">
        <v>8</v>
      </c>
      <c r="C253" s="77" t="s">
        <v>304</v>
      </c>
    </row>
    <row r="254" spans="1:3" ht="31">
      <c r="A254" s="78">
        <v>1</v>
      </c>
      <c r="B254" s="78" t="s">
        <v>1</v>
      </c>
      <c r="C254" s="78" t="s">
        <v>305</v>
      </c>
    </row>
    <row r="255" spans="1:3" ht="31">
      <c r="A255" s="78">
        <v>2</v>
      </c>
      <c r="B255" s="78" t="s">
        <v>2</v>
      </c>
      <c r="C255" s="78" t="s">
        <v>306</v>
      </c>
    </row>
    <row r="256" spans="1:3" ht="31">
      <c r="A256" s="78">
        <v>3</v>
      </c>
      <c r="B256" s="78" t="s">
        <v>3</v>
      </c>
      <c r="C256" s="78" t="s">
        <v>307</v>
      </c>
    </row>
    <row r="257" spans="1:3" ht="31">
      <c r="A257" s="78">
        <v>4</v>
      </c>
      <c r="B257" s="78" t="s">
        <v>4</v>
      </c>
      <c r="C257" s="78" t="s">
        <v>308</v>
      </c>
    </row>
    <row r="258" spans="1:3" ht="31">
      <c r="A258" s="78">
        <v>5</v>
      </c>
      <c r="B258" s="78" t="s">
        <v>5</v>
      </c>
      <c r="C258" s="78" t="s">
        <v>309</v>
      </c>
    </row>
    <row r="261" spans="1:3" ht="31">
      <c r="A261" s="70" t="s">
        <v>310</v>
      </c>
    </row>
    <row r="263" spans="1:3" ht="15.5">
      <c r="A263" s="14" t="s">
        <v>311</v>
      </c>
    </row>
    <row r="264" spans="1:3">
      <c r="A264" s="74"/>
    </row>
    <row r="265" spans="1:3" ht="15.5">
      <c r="A265" s="75" t="s">
        <v>199</v>
      </c>
    </row>
    <row r="266" spans="1:3">
      <c r="A266" s="74"/>
    </row>
    <row r="267" spans="1:3" ht="15.5">
      <c r="A267" s="75" t="s">
        <v>200</v>
      </c>
    </row>
    <row r="268" spans="1:3">
      <c r="A268" s="74"/>
    </row>
    <row r="269" spans="1:3" ht="15.5">
      <c r="A269" s="75" t="s">
        <v>312</v>
      </c>
    </row>
    <row r="270" spans="1:3">
      <c r="A270" s="74"/>
    </row>
    <row r="271" spans="1:3" ht="15.5">
      <c r="A271" s="75" t="s">
        <v>11</v>
      </c>
    </row>
    <row r="272" spans="1:3">
      <c r="A272" s="74"/>
    </row>
    <row r="273" spans="1:1" ht="15.5">
      <c r="A273" s="75" t="s">
        <v>221</v>
      </c>
    </row>
    <row r="274" spans="1:1">
      <c r="A274" s="74"/>
    </row>
    <row r="275" spans="1:1" ht="15.5">
      <c r="A275" s="75" t="s">
        <v>220</v>
      </c>
    </row>
    <row r="276" spans="1:1">
      <c r="A276" s="74"/>
    </row>
    <row r="277" spans="1:1" ht="15.5">
      <c r="A277" s="75" t="s">
        <v>217</v>
      </c>
    </row>
    <row r="278" spans="1:1">
      <c r="A278" s="74"/>
    </row>
    <row r="279" spans="1:1" ht="15.5">
      <c r="A279" s="75" t="s">
        <v>313</v>
      </c>
    </row>
    <row r="280" spans="1:1">
      <c r="A280" s="74"/>
    </row>
    <row r="281" spans="1:1" ht="15.5">
      <c r="A281" s="75" t="s">
        <v>225</v>
      </c>
    </row>
    <row r="282" spans="1:1">
      <c r="A282" s="74"/>
    </row>
    <row r="283" spans="1:1" ht="15.5">
      <c r="A283" s="75" t="s">
        <v>226</v>
      </c>
    </row>
    <row r="284" spans="1:1">
      <c r="A284" s="74"/>
    </row>
    <row r="285" spans="1:1" ht="15.5">
      <c r="A285" s="75" t="s">
        <v>314</v>
      </c>
    </row>
    <row r="289" spans="1:1" ht="31">
      <c r="A289" s="70" t="s">
        <v>315</v>
      </c>
    </row>
    <row r="291" spans="1:1" ht="15.5">
      <c r="A291" s="14" t="s">
        <v>316</v>
      </c>
    </row>
    <row r="293" spans="1:1" ht="15.5">
      <c r="A293" s="14" t="s">
        <v>317</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68D118-F488-4940-8DB9-7183AFF0CC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AI Readiness Assessment</vt:lpstr>
      <vt:lpstr>AI Maturity Matrix</vt:lpstr>
      <vt:lpstr>Scoring Engine</vt:lpstr>
      <vt:lpstr>Readiness Heatmap</vt:lpstr>
      <vt:lpstr>Drop-Down Keys - Do Not Delete</vt:lpstr>
      <vt:lpstr>Executive Dashboard</vt:lpstr>
      <vt:lpstr>Improvement Roadmap</vt:lpstr>
      <vt:lpstr>Executive Summary</vt:lpstr>
      <vt:lpstr>Domain Recommendation Library</vt:lpstr>
      <vt:lpstr>Help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 Hesse</cp:lastModifiedBy>
  <dcterms:created xsi:type="dcterms:W3CDTF">2026-06-04T10:45:59Z</dcterms:created>
  <dcterms:modified xsi:type="dcterms:W3CDTF">2026-06-06T05:01:49Z</dcterms:modified>
</cp:coreProperties>
</file>